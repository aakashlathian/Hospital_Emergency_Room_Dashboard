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13_ncr:2001_{CCF48203-412E-4FCD-8533-D6C8B61626C6}" xr6:coauthVersionLast="47" xr6:coauthVersionMax="47" xr10:uidLastSave="{00000000-0000-0000-0000-000000000000}"/>
  <bookViews>
    <workbookView xWindow="-108" yWindow="-108" windowWidth="23256" windowHeight="12456" activeTab="2" xr2:uid="{DE8B9B93-3F26-42CD-BBE7-DFE8D629280C}"/>
  </bookViews>
  <sheets>
    <sheet name="Sheet4" sheetId="4" r:id="rId1"/>
    <sheet name="Sheet1" sheetId="1" r:id="rId2"/>
    <sheet name="Dashboard" sheetId="2" r:id="rId3"/>
    <sheet name="Sheet3" sheetId="3" r:id="rId4"/>
    <sheet name="Sheet5" sheetId="5" r:id="rId5"/>
    <sheet name="Sheet6" sheetId="6" r:id="rId6"/>
  </sheets>
  <definedNames>
    <definedName name="ExternalData_1" localSheetId="0" hidden="1">Sheet4!$A$3:$P$34</definedName>
    <definedName name="Slicer_Date__Month">#N/A</definedName>
    <definedName name="Slicer_Date__Year">#N/A</definedName>
  </definedNames>
  <calcPr calcId="191029"/>
  <pivotCaches>
    <pivotCache cacheId="1475" r:id="rId7"/>
    <pivotCache cacheId="1478" r:id="rId8"/>
    <pivotCache cacheId="1481" r:id="rId9"/>
    <pivotCache cacheId="1484" r:id="rId10"/>
    <pivotCache cacheId="1487" r:id="rId11"/>
    <pivotCache cacheId="1490" r:id="rId12"/>
    <pivotCache cacheId="1493" r:id="rId13"/>
    <pivotCache cacheId="1496" r:id="rId14"/>
    <pivotCache cacheId="1499" r:id="rId15"/>
    <pivotCache cacheId="1502" r:id="rId16"/>
    <pivotCache cacheId="1505" r:id="rId17"/>
    <pivotCache cacheId="1508" r:id="rId18"/>
    <pivotCache cacheId="1511" r:id="rId19"/>
  </pivotCaches>
  <fileRecoveryPr repairLoad="1"/>
  <extLst>
    <ext xmlns:x14="http://schemas.microsoft.com/office/spreadsheetml/2009/9/main" uri="{876F7934-8845-4945-9796-88D515C7AA90}">
      <x14:pivotCaches>
        <pivotCache cacheId="1081"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7c274bc7-aee9-4616-8de6-b58240499cf6" name="Hospital Emergency Room Data" connection="Query - Hospital Emergency Room Data"/>
          <x15:modelTable id="Calendar Table_04a90a2c-0269-413b-8112-b481641ba590" name="Calendar Table" connection="Query - Calendar Table"/>
        </x15:modelTables>
        <x15:modelRelationships>
          <x15:modelRelationship fromTable="Hospital Emergency Room Data" fromColumn="Patient Admission Date" toTable="Calendar Table" toColumn="Date"/>
        </x15:modelRelationships>
        <x15:extLst>
          <ext xmlns:x16="http://schemas.microsoft.com/office/spreadsheetml/2014/11/main" uri="{9835A34E-60A6-4A7C-AAB8-D5F71C897F49}">
            <x16:modelTimeGroupings>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1" l="1"/>
  <c r="N6" i="1"/>
  <c r="O6" i="1"/>
  <c r="N5" i="1"/>
  <c r="O5" i="1"/>
  <c r="M5" i="1"/>
  <c r="N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2B6632-3885-4FE9-A29C-BC3494719A6A}" keepAlive="1" name="ModelConnection_ExternalData_1" description="Data Model" type="5" refreshedVersion="8" minRefreshableVersion="5" saveData="1">
    <dbPr connection="Data Model Connection" command="DRILLTHROUGH MAXROWS 1000 SELECT FROM [Model] WHERE (([Calendar Table].[Date (Month)].&amp;[Apr],[Measures].[Average of Patient Waittime],[Calendar Table].[Date (Day)].&amp;[1-Apr])) RETURN [$Hospital Emergency Room Data].[Patient Id],[$Hospital Emergency Room Data].[Patient Admission Date],[$Hospital Emergency Room Data].[Patient Admission hrs],[$Hospital Emergency Room Data].[Full_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Patient Attend Status],[$Hospital Emergency Room Data].[Patient Admission Date (Year)],[$Hospital Emergency Room Data].[Patient Admission Date (Quarter)],[$Hospital Emergency Room Data].[Patient Admission Date (Month)],[$Hospital Emergency Room Data].[Patient Admission Date (Month Index)]" commandType="4"/>
    <extLst>
      <ext xmlns:x15="http://schemas.microsoft.com/office/spreadsheetml/2010/11/main" uri="{DE250136-89BD-433C-8126-D09CA5730AF9}">
        <x15:connection id="" model="1"/>
      </ext>
    </extLst>
  </connection>
  <connection id="2" xr16:uid="{1BD9F638-66F3-4669-884D-90F081E9B90B}" name="Query - Calendar Table" description="Connection to the 'Calendar Table' query in the workbook." type="100" refreshedVersion="8" minRefreshableVersion="5">
    <extLst>
      <ext xmlns:x15="http://schemas.microsoft.com/office/spreadsheetml/2010/11/main" uri="{DE250136-89BD-433C-8126-D09CA5730AF9}">
        <x15:connection id="24c01e9e-f8b2-4097-9e7d-f750fa2b66e0"/>
      </ext>
    </extLst>
  </connection>
  <connection id="3" xr16:uid="{4F51210F-A5A0-4F5E-B025-F0210278219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3fcc7c9-cb64-4043-9a27-582eff755a25"/>
      </ext>
    </extLst>
  </connection>
  <connection id="4" xr16:uid="{1CB8F330-3AF5-44FA-8D9F-F2DB4D2E1F3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<sst xmlns="http://schemas.openxmlformats.org/spreadsheetml/2006/main" count="490" uniqueCount="157">
  <si>
    <t>Row Labels</t>
  </si>
  <si>
    <t>Grand Total</t>
  </si>
  <si>
    <t>African American</t>
  </si>
  <si>
    <t>Asian</t>
  </si>
  <si>
    <t>Declined to Identify</t>
  </si>
  <si>
    <t>Native American/Alaska Native</t>
  </si>
  <si>
    <t>Pacific Islander</t>
  </si>
  <si>
    <t>Two or More Races</t>
  </si>
  <si>
    <t>White</t>
  </si>
  <si>
    <t>100-34-9587</t>
  </si>
  <si>
    <t>106-45-9457</t>
  </si>
  <si>
    <t>111-52-9197</t>
  </si>
  <si>
    <t>125-52-4944</t>
  </si>
  <si>
    <t>161-03-2325</t>
  </si>
  <si>
    <t>170-60-7747</t>
  </si>
  <si>
    <t>208-28-7749</t>
  </si>
  <si>
    <t>210-44-1324</t>
  </si>
  <si>
    <t>210-50-1801</t>
  </si>
  <si>
    <t>259-51-9518</t>
  </si>
  <si>
    <t>325-65-7104</t>
  </si>
  <si>
    <t>338-11-7529</t>
  </si>
  <si>
    <t>389-14-6190</t>
  </si>
  <si>
    <t>405-16-6690</t>
  </si>
  <si>
    <t>417-42-4910</t>
  </si>
  <si>
    <t>428-40-4491</t>
  </si>
  <si>
    <t>494-35-2410</t>
  </si>
  <si>
    <t>496-35-0982</t>
  </si>
  <si>
    <t>570-93-0122</t>
  </si>
  <si>
    <t>576-82-1180</t>
  </si>
  <si>
    <t>628-45-6492</t>
  </si>
  <si>
    <t>685-14-2682</t>
  </si>
  <si>
    <t>689-22-4635</t>
  </si>
  <si>
    <t>701-64-7880</t>
  </si>
  <si>
    <t>766-20-3662</t>
  </si>
  <si>
    <t>822-92-9656</t>
  </si>
  <si>
    <t>868-10-5414</t>
  </si>
  <si>
    <t>869-40-4882</t>
  </si>
  <si>
    <t>874-57-8352</t>
  </si>
  <si>
    <t>889-96-0276</t>
  </si>
  <si>
    <t>897-16-6821</t>
  </si>
  <si>
    <t>Count of Patient Id</t>
  </si>
  <si>
    <t>Distinct Count of Patient Id</t>
  </si>
  <si>
    <t>no to patients</t>
  </si>
  <si>
    <t>Average of Patient Waittime</t>
  </si>
  <si>
    <t>Avg patients waittime</t>
  </si>
  <si>
    <t>Average of Patient Satisfaction Score</t>
  </si>
  <si>
    <t>Avg Satisfaction score</t>
  </si>
  <si>
    <t>2023</t>
  </si>
  <si>
    <t>2024</t>
  </si>
  <si>
    <t>Qtr2</t>
  </si>
  <si>
    <t>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</si>
  <si>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</si>
  <si>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</si>
  <si>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</si>
  <si>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</si>
  <si>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</si>
  <si>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</si>
  <si>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</si>
  <si>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</si>
  <si>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</si>
  <si>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</si>
  <si>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</si>
  <si>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</si>
  <si>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</si>
  <si>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</si>
  <si>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</si>
  <si>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</si>
  <si>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</si>
  <si>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</si>
  <si>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</si>
  <si>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</si>
  <si>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</si>
  <si>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</si>
  <si>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</si>
  <si>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</si>
  <si>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</si>
  <si>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</si>
  <si>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</si>
  <si>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</si>
  <si>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</si>
  <si>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</si>
  <si>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</si>
  <si>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Hospital Emergency Room Data[Patient Id]</t>
  </si>
  <si>
    <t>Hospital Emergency Room Data[Patient Admission Date]</t>
  </si>
  <si>
    <t>Hospital Emergency Room Data[Patient Admission hrs]</t>
  </si>
  <si>
    <t>Hospital Emergency Room Data[Full_Name]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</si>
  <si>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</si>
  <si>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</si>
  <si>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</si>
  <si>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</si>
  <si>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</si>
  <si>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</si>
  <si>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</si>
  <si>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Data[Patient Attend Status]</t>
  </si>
  <si>
    <t>Hospital Emergency Room Data[Patient Admission Date (Year)]</t>
  </si>
  <si>
    <t>Hospital Emergency Room Data[Patient Admission Date (Quarter)]</t>
  </si>
  <si>
    <t>Hospital Emergency Room Data[Patient Admission Date (Month)]</t>
  </si>
  <si>
    <t>Hospital Emergency Room Data[Patient Admission Date (Month Index)]</t>
  </si>
  <si>
    <t>L. McCarrison</t>
  </si>
  <si>
    <t>F</t>
  </si>
  <si>
    <t>None</t>
  </si>
  <si>
    <t>Admitted</t>
  </si>
  <si>
    <t>Delay</t>
  </si>
  <si>
    <t>G. Hawkeswood</t>
  </si>
  <si>
    <t>Not Admitted</t>
  </si>
  <si>
    <t>W. Martinelli</t>
  </si>
  <si>
    <t>On time</t>
  </si>
  <si>
    <t>V. Matyushenko</t>
  </si>
  <si>
    <t>M</t>
  </si>
  <si>
    <t>A. Oates</t>
  </si>
  <si>
    <t>B. Grzelczak</t>
  </si>
  <si>
    <t>J. Antonnikov</t>
  </si>
  <si>
    <t>R. Fulker</t>
  </si>
  <si>
    <t>V. Clelle</t>
  </si>
  <si>
    <t>U. Pendell</t>
  </si>
  <si>
    <t>D. Golding</t>
  </si>
  <si>
    <t>A. Russam</t>
  </si>
  <si>
    <t>A. Blowfelde</t>
  </si>
  <si>
    <t>S. Shakespeare</t>
  </si>
  <si>
    <t>T. Rolingson</t>
  </si>
  <si>
    <t>A. Hamblett</t>
  </si>
  <si>
    <t>E. Bygate</t>
  </si>
  <si>
    <t>General Practice</t>
  </si>
  <si>
    <t>X. Bassford</t>
  </si>
  <si>
    <t>I. Nicol</t>
  </si>
  <si>
    <t>N. Sommerscales</t>
  </si>
  <si>
    <t>W. Strover</t>
  </si>
  <si>
    <t>Orthopedics</t>
  </si>
  <si>
    <t>X. Olech</t>
  </si>
  <si>
    <t>V. Mityakov</t>
  </si>
  <si>
    <t>Q. Purseglove</t>
  </si>
  <si>
    <t>Cardiology</t>
  </si>
  <si>
    <t>U. Lamburn</t>
  </si>
  <si>
    <t>Neurology</t>
  </si>
  <si>
    <t>O. Mercy</t>
  </si>
  <si>
    <t>Gastroenterology</t>
  </si>
  <si>
    <t>N. Sparsholt</t>
  </si>
  <si>
    <t>T. Snowdon</t>
  </si>
  <si>
    <t>Q. Everson</t>
  </si>
  <si>
    <t>L. Brothwell</t>
  </si>
  <si>
    <t>V. Game</t>
  </si>
  <si>
    <t>Data returned for Average of Patient Waittime, 1-Apr, Apr (First 1000 rows).</t>
  </si>
  <si>
    <t>Count of Patient Admission Flag</t>
  </si>
  <si>
    <t>Count of Patient Admission Flag2</t>
  </si>
  <si>
    <t>Status</t>
  </si>
  <si>
    <t>No. of Patients</t>
  </si>
  <si>
    <t>Admission Status</t>
  </si>
  <si>
    <t>Physiotherapy</t>
  </si>
  <si>
    <t>Renal</t>
  </si>
  <si>
    <t>0-9</t>
  </si>
  <si>
    <t>10-19</t>
  </si>
  <si>
    <t>20-29</t>
  </si>
  <si>
    <t>30-39</t>
  </si>
  <si>
    <t>40-49</t>
  </si>
  <si>
    <t>50-59</t>
  </si>
  <si>
    <t>60-69</t>
  </si>
  <si>
    <t>70-79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</si>
</sst>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14" fontId="0" fillId="0" borderId="0" xfId="0" applyNumberFormat="1"/>
    <xf numFmtId="21" fontId="0" fillId="0" borderId="0" xfId="0" applyNumberFormat="1"/>
    <xf numFmtId="0" fontId="2" fillId="0" borderId="0" xfId="0" applyFont="1"/>
    <xf numFmtId="10" fontId="0" fillId="0" borderId="0" xfId="0" applyNumberFormat="1"/>
    <xf numFmtId="0" fontId="2" fillId="3" borderId="0" xfId="0" applyFont="1" applyFill="1" applyBorder="1" applyAlignment="1">
      <alignment horizontal="center" vertical="center"/>
    </xf>
    <xf numFmtId="0" fontId="0" fillId="3" borderId="0" xfId="0" applyFill="1" applyBorder="1"/>
    <xf numFmtId="0" fontId="0" fillId="3" borderId="0" xfId="0" applyFill="1" applyBorder="1" applyAlignment="1">
      <alignment horizontal="center" vertical="center"/>
    </xf>
    <xf numFmtId="9" fontId="0" fillId="3" borderId="0" xfId="1" applyFont="1" applyFill="1" applyBorder="1" applyAlignment="1">
      <alignment horizontal="center" vertical="center"/>
    </xf>
    <xf numFmtId="1" fontId="0" fillId="0" borderId="0" xfId="0" applyNumberFormat="1"/>
  </cellXfs>
  <cellStyles count="2">
    <cellStyle name="Normal" xfId="0" builtinId="0"/>
    <cellStyle name="Per cent" xfId="1" builtinId="5"/>
  </cellStyles>
  <dxfs count="221">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b/>
        <i val="0"/>
        <sz val="10"/>
        <color theme="1"/>
      </font>
      <fill>
        <patternFill>
          <bgColor theme="2"/>
        </patternFill>
      </fill>
      <border diagonalUp="0" diagonalDown="0">
        <left/>
        <right/>
        <top/>
        <bottom/>
        <vertical/>
        <horizontal/>
      </border>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6" formatCode="hh:mm:ss"/>
    </dxf>
    <dxf>
      <numFmt numFmtId="19" formatCode="dd/mm/yyyy"/>
    </dxf>
    <dxf>
      <numFmt numFmtId="2" formatCode="0.00"/>
    </dxf>
    <dxf>
      <numFmt numFmtId="2" formatCode="0.00"/>
    </dxf>
    <dxf>
      <numFmt numFmtId="2" formatCode="0.00"/>
    </dxf>
  </dxfs>
  <tableStyles count="1" defaultTableStyle="TableStyleMedium2" defaultPivotStyle="PivotStyleLight16">
    <tableStyle name="SlicerStyleLight1 2" pivot="0" table="0" count="10" xr9:uid="{1A37AB3C-CC65-4DDF-8860-03FB209669C8}">
      <tableStyleElement type="wholeTable" dxfId="19"/>
      <tableStyleElement type="headerRow" dxfId="18"/>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Dashboard.xlsx]Sheet1!PivotTable8</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2694408883913983E-2"/>
              <c:y val="-5.8673134673134647E-2"/>
            </c:manualLayout>
          </c:layout>
          <c:tx>
            <c:rich>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fld id="{F3F92E21-2310-4672-8016-9B34F2C793C9}" type="CELLRANGE">
                  <a:rPr lang="en-US" sz="600"/>
                  <a:pPr>
                    <a:defRPr sz="600"/>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2440231504414151"/>
                  <c:h val="0.29689073689073692"/>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79FDEE61-9CED-4296-B69E-394B777E060D}" type="CELLRANGE">
                  <a:rPr lang="en-US" sz="600"/>
                  <a:pPr>
                    <a:defRPr sz="6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2009073474846375"/>
                  <c:h val="0.21369184569184566"/>
                </c:manualLayout>
              </c15:layout>
              <c15:dlblFieldTable/>
              <c15:showDataLabelsRange val="1"/>
            </c:ext>
          </c:extLst>
        </c:dLbl>
      </c:pivotFmt>
    </c:pivotFmts>
    <c:plotArea>
      <c:layout>
        <c:manualLayout>
          <c:layoutTarget val="inner"/>
          <c:xMode val="edge"/>
          <c:yMode val="edge"/>
          <c:x val="2.3400793909025826E-3"/>
          <c:y val="8.4033613445378158E-2"/>
          <c:w val="0.9206340253237858"/>
          <c:h val="0.88235294117647056"/>
        </c:manualLayout>
      </c:layout>
      <c:barChart>
        <c:barDir val="bar"/>
        <c:grouping val="clustered"/>
        <c:varyColors val="0"/>
        <c:ser>
          <c:idx val="0"/>
          <c:order val="0"/>
          <c:tx>
            <c:strRef>
              <c:f>(Sheet1!$C$29,Sheet1!$C$30)</c:f>
              <c:strCache>
                <c:ptCount val="1"/>
                <c:pt idx="0">
                  <c:v>Count of Patient Admission Flag</c:v>
                </c:pt>
              </c:strCache>
            </c:strRef>
          </c:tx>
          <c:spPr>
            <a:solidFill>
              <a:schemeClr val="accent1"/>
            </a:solidFill>
            <a:ln>
              <a:noFill/>
            </a:ln>
            <a:effectLst/>
          </c:spPr>
          <c:invertIfNegative val="0"/>
          <c:dLbls>
            <c:dLbl>
              <c:idx val="0"/>
              <c:layout>
                <c:manualLayout>
                  <c:x val="2.2694408883913983E-2"/>
                  <c:y val="-5.8673134673134647E-2"/>
                </c:manualLayout>
              </c:layout>
              <c:tx>
                <c:rich>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fld id="{F3F92E21-2310-4672-8016-9B34F2C793C9}" type="CELLRANGE">
                      <a:rPr lang="en-US" sz="600"/>
                      <a:pPr>
                        <a:defRPr sz="600"/>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2440231504414151"/>
                      <c:h val="0.29689073689073692"/>
                    </c:manualLayout>
                  </c15:layout>
                  <c15:dlblFieldTable/>
                  <c15:showDataLabelsRange val="1"/>
                </c:ext>
                <c:ext xmlns:c16="http://schemas.microsoft.com/office/drawing/2014/chart" uri="{C3380CC4-5D6E-409C-BE32-E72D297353CC}">
                  <c16:uniqueId val="{00000004-D809-46FD-8E66-D3F87F4DFAFC}"/>
                </c:ext>
              </c:extLst>
            </c:dLbl>
            <c:dLbl>
              <c:idx val="1"/>
              <c:tx>
                <c:rich>
                  <a:bodyPr/>
                  <a:lstStyle/>
                  <a:p>
                    <a:fld id="{79FDEE61-9CED-4296-B69E-394B777E060D}" type="CELLRANGE">
                      <a:rPr lang="en-US" sz="600"/>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manualLayout>
                      <c:w val="0.22009073474846375"/>
                      <c:h val="0.21369184569184566"/>
                    </c:manualLayout>
                  </c15:layout>
                  <c15:dlblFieldTable/>
                  <c15:showDataLabelsRange val="1"/>
                </c:ext>
                <c:ext xmlns:c16="http://schemas.microsoft.com/office/drawing/2014/chart" uri="{C3380CC4-5D6E-409C-BE32-E72D297353CC}">
                  <c16:uniqueId val="{00000003-D809-46FD-8E66-D3F87F4DFAFC}"/>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(Sheet1!$C$29,Sheet1!$C$30)</c:f>
              <c:strCache>
                <c:ptCount val="2"/>
                <c:pt idx="0">
                  <c:v>Admitted</c:v>
                </c:pt>
                <c:pt idx="1">
                  <c:v>Not Admitted</c:v>
                </c:pt>
              </c:strCache>
            </c:strRef>
          </c:cat>
          <c:val>
            <c:numRef>
              <c:f>(Sheet1!$C$29,Sheet1!$C$30)</c:f>
              <c:numCache>
                <c:formatCode>0.00</c:formatCode>
                <c:ptCount val="2"/>
                <c:pt idx="0">
                  <c:v>266</c:v>
                </c:pt>
                <c:pt idx="1">
                  <c:v>253</c:v>
                </c:pt>
              </c:numCache>
            </c:numRef>
          </c:val>
          <c:extLst>
            <c:ext xmlns:c15="http://schemas.microsoft.com/office/drawing/2012/chart" uri="{02D57815-91ED-43cb-92C2-25804820EDAC}">
              <c15:datalabelsRange>
                <c15:f>(Sheet1!$C$29,Sheet1!$C$30)</c15:f>
                <c15:dlblRangeCache>
                  <c:ptCount val="2"/>
                  <c:pt idx="0">
                    <c:v>51.25%</c:v>
                  </c:pt>
                  <c:pt idx="1">
                    <c:v>48.75%</c:v>
                  </c:pt>
                </c15:dlblRangeCache>
              </c15:datalabelsRange>
            </c:ext>
            <c:ext xmlns:c16="http://schemas.microsoft.com/office/drawing/2014/chart" uri="{C3380CC4-5D6E-409C-BE32-E72D297353CC}">
              <c16:uniqueId val="{00000000-D809-46FD-8E66-D3F87F4DFAFC}"/>
            </c:ext>
          </c:extLst>
        </c:ser>
        <c:ser>
          <c:idx val="1"/>
          <c:order val="1"/>
          <c:tx>
            <c:strRef>
              <c:f>(Sheet1!$C$29,Sheet1!$C$30)</c:f>
              <c:strCache>
                <c:ptCount val="1"/>
                <c:pt idx="0">
                  <c:v>Count of Patient Admission Flag2</c:v>
                </c:pt>
              </c:strCache>
            </c:strRef>
          </c:tx>
          <c:spPr>
            <a:solidFill>
              <a:schemeClr val="accent2"/>
            </a:solidFill>
            <a:ln>
              <a:noFill/>
            </a:ln>
            <a:effectLst/>
          </c:spPr>
          <c:invertIfNegative val="0"/>
          <c:cat>
            <c:strRef>
              <c:f>(Sheet1!$C$29,Sheet1!$C$30)</c:f>
              <c:strCache>
                <c:ptCount val="2"/>
                <c:pt idx="0">
                  <c:v>Admitted</c:v>
                </c:pt>
                <c:pt idx="1">
                  <c:v>Not Admitted</c:v>
                </c:pt>
              </c:strCache>
            </c:strRef>
          </c:cat>
          <c:val>
            <c:numRef>
              <c:f>(Sheet1!$C$29,Sheet1!$C$30)</c:f>
              <c:numCache>
                <c:formatCode>0.00%</c:formatCode>
                <c:ptCount val="2"/>
                <c:pt idx="0">
                  <c:v>0.51252408477842004</c:v>
                </c:pt>
                <c:pt idx="1">
                  <c:v>0.48747591522157996</c:v>
                </c:pt>
              </c:numCache>
            </c:numRef>
          </c:val>
          <c:extLst>
            <c:ext xmlns:c16="http://schemas.microsoft.com/office/drawing/2014/chart" uri="{C3380CC4-5D6E-409C-BE32-E72D297353CC}">
              <c16:uniqueId val="{00000001-D809-46FD-8E66-D3F87F4DFAFC}"/>
            </c:ext>
          </c:extLst>
        </c:ser>
        <c:dLbls>
          <c:showLegendKey val="0"/>
          <c:showVal val="0"/>
          <c:showCatName val="0"/>
          <c:showSerName val="0"/>
          <c:showPercent val="0"/>
          <c:showBubbleSize val="0"/>
        </c:dLbls>
        <c:gapWidth val="176"/>
        <c:axId val="1275722040"/>
        <c:axId val="1275728160"/>
      </c:barChart>
      <c:catAx>
        <c:axId val="1275722040"/>
        <c:scaling>
          <c:orientation val="minMax"/>
        </c:scaling>
        <c:delete val="1"/>
        <c:axPos val="l"/>
        <c:numFmt formatCode="General" sourceLinked="1"/>
        <c:majorTickMark val="none"/>
        <c:minorTickMark val="none"/>
        <c:tickLblPos val="nextTo"/>
        <c:crossAx val="1275728160"/>
        <c:crosses val="autoZero"/>
        <c:auto val="1"/>
        <c:lblAlgn val="ctr"/>
        <c:lblOffset val="100"/>
        <c:noMultiLvlLbl val="0"/>
      </c:catAx>
      <c:valAx>
        <c:axId val="1275728160"/>
        <c:scaling>
          <c:orientation val="minMax"/>
        </c:scaling>
        <c:delete val="1"/>
        <c:axPos val="b"/>
        <c:numFmt formatCode="0.00" sourceLinked="1"/>
        <c:majorTickMark val="none"/>
        <c:minorTickMark val="none"/>
        <c:tickLblPos val="nextTo"/>
        <c:crossAx val="1275722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460737846858146E-3"/>
          <c:y val="6.3788127683739287E-2"/>
          <c:w val="0.97803506480277547"/>
          <c:h val="0.92018960164665364"/>
        </c:manualLayout>
      </c:layout>
      <c:areaChart>
        <c:grouping val="standard"/>
        <c:varyColors val="0"/>
        <c:ser>
          <c:idx val="0"/>
          <c:order val="0"/>
          <c:tx>
            <c:strRef>
              <c:f>Sheet1!$E$4</c:f>
              <c:strCache>
                <c:ptCount val="1"/>
                <c:pt idx="0">
                  <c:v>Total</c:v>
                </c:pt>
              </c:strCache>
            </c:strRef>
          </c:tx>
          <c:spPr>
            <a:solidFill>
              <a:schemeClr val="accent1"/>
            </a:solidFill>
            <a:ln>
              <a:noFill/>
            </a:ln>
            <a:effectLst/>
          </c:spPr>
          <c:cat>
            <c:strRef>
              <c:f>Sheet1!$D$5:$D$36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Sheet1!$E$5:$E$36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DB24-440B-A323-B24EE2C715B3}"/>
            </c:ext>
          </c:extLst>
        </c:ser>
        <c:dLbls>
          <c:showLegendKey val="0"/>
          <c:showVal val="0"/>
          <c:showCatName val="0"/>
          <c:showSerName val="0"/>
          <c:showPercent val="0"/>
          <c:showBubbleSize val="0"/>
        </c:dLbls>
        <c:axId val="1284250816"/>
        <c:axId val="1284245416"/>
      </c:areaChart>
      <c:catAx>
        <c:axId val="1284250816"/>
        <c:scaling>
          <c:orientation val="minMax"/>
        </c:scaling>
        <c:delete val="1"/>
        <c:axPos val="b"/>
        <c:numFmt formatCode="General" sourceLinked="1"/>
        <c:majorTickMark val="out"/>
        <c:minorTickMark val="none"/>
        <c:tickLblPos val="nextTo"/>
        <c:crossAx val="1284245416"/>
        <c:crosses val="autoZero"/>
        <c:auto val="1"/>
        <c:lblAlgn val="ctr"/>
        <c:lblOffset val="100"/>
        <c:noMultiLvlLbl val="0"/>
      </c:catAx>
      <c:valAx>
        <c:axId val="1284245416"/>
        <c:scaling>
          <c:orientation val="minMax"/>
        </c:scaling>
        <c:delete val="1"/>
        <c:axPos val="l"/>
        <c:numFmt formatCode="General" sourceLinked="1"/>
        <c:majorTickMark val="none"/>
        <c:minorTickMark val="none"/>
        <c:tickLblPos val="nextTo"/>
        <c:crossAx val="12842508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Dashboard.xlsx]Sheet1!PivotTable6</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7648458636071628"/>
          <c:w val="1"/>
          <c:h val="0.51868547489571915"/>
        </c:manualLayout>
      </c:layout>
      <c:areaChart>
        <c:grouping val="standard"/>
        <c:varyColors val="0"/>
        <c:ser>
          <c:idx val="0"/>
          <c:order val="0"/>
          <c:tx>
            <c:strRef>
              <c:f>Sheet1!$H$4</c:f>
              <c:strCache>
                <c:ptCount val="1"/>
                <c:pt idx="0">
                  <c:v>Total</c:v>
                </c:pt>
              </c:strCache>
            </c:strRef>
          </c:tx>
          <c:spPr>
            <a:solidFill>
              <a:schemeClr val="accent1"/>
            </a:solidFill>
            <a:ln>
              <a:noFill/>
            </a:ln>
            <a:effectLst/>
          </c:spPr>
          <c:cat>
            <c:strRef>
              <c:f>Sheet1!$G$5:$G$36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Sheet1!$H$5:$H$36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71D9-451A-99A8-0EDB1A2DBE2E}"/>
            </c:ext>
          </c:extLst>
        </c:ser>
        <c:dLbls>
          <c:showLegendKey val="0"/>
          <c:showVal val="0"/>
          <c:showCatName val="0"/>
          <c:showSerName val="0"/>
          <c:showPercent val="0"/>
          <c:showBubbleSize val="0"/>
        </c:dLbls>
        <c:axId val="1273125480"/>
        <c:axId val="1273125120"/>
      </c:areaChart>
      <c:catAx>
        <c:axId val="1273125480"/>
        <c:scaling>
          <c:orientation val="minMax"/>
        </c:scaling>
        <c:delete val="1"/>
        <c:axPos val="b"/>
        <c:numFmt formatCode="General" sourceLinked="1"/>
        <c:majorTickMark val="out"/>
        <c:minorTickMark val="none"/>
        <c:tickLblPos val="nextTo"/>
        <c:crossAx val="1273125120"/>
        <c:crosses val="autoZero"/>
        <c:auto val="1"/>
        <c:lblAlgn val="ctr"/>
        <c:lblOffset val="100"/>
        <c:noMultiLvlLbl val="0"/>
      </c:catAx>
      <c:valAx>
        <c:axId val="1273125120"/>
        <c:scaling>
          <c:orientation val="minMax"/>
        </c:scaling>
        <c:delete val="1"/>
        <c:axPos val="l"/>
        <c:numFmt formatCode="0.00" sourceLinked="1"/>
        <c:majorTickMark val="none"/>
        <c:minorTickMark val="none"/>
        <c:tickLblPos val="nextTo"/>
        <c:crossAx val="12731254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Dashboard.xlsx]Sheet1!PivotTable7</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874396902876303E-3"/>
          <c:y val="0.18696915655821128"/>
          <c:w val="0.9981125603097124"/>
          <c:h val="0.81303084344178889"/>
        </c:manualLayout>
      </c:layout>
      <c:areaChart>
        <c:grouping val="standard"/>
        <c:varyColors val="0"/>
        <c:ser>
          <c:idx val="0"/>
          <c:order val="0"/>
          <c:tx>
            <c:strRef>
              <c:f>Sheet1!$K$4</c:f>
              <c:strCache>
                <c:ptCount val="1"/>
                <c:pt idx="0">
                  <c:v>Total</c:v>
                </c:pt>
              </c:strCache>
            </c:strRef>
          </c:tx>
          <c:spPr>
            <a:solidFill>
              <a:schemeClr val="accent1"/>
            </a:solidFill>
            <a:ln>
              <a:noFill/>
            </a:ln>
            <a:effectLst/>
          </c:spPr>
          <c:cat>
            <c:strRef>
              <c:f>Sheet1!$J$5:$J$36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Sheet1!$K$5:$K$36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E193-4E5D-8D27-441BC554863D}"/>
            </c:ext>
          </c:extLst>
        </c:ser>
        <c:dLbls>
          <c:showLegendKey val="0"/>
          <c:showVal val="0"/>
          <c:showCatName val="0"/>
          <c:showSerName val="0"/>
          <c:showPercent val="0"/>
          <c:showBubbleSize val="0"/>
        </c:dLbls>
        <c:axId val="1273157952"/>
        <c:axId val="1273155432"/>
      </c:areaChart>
      <c:catAx>
        <c:axId val="1273157952"/>
        <c:scaling>
          <c:orientation val="minMax"/>
        </c:scaling>
        <c:delete val="1"/>
        <c:axPos val="b"/>
        <c:numFmt formatCode="General" sourceLinked="1"/>
        <c:majorTickMark val="out"/>
        <c:minorTickMark val="none"/>
        <c:tickLblPos val="nextTo"/>
        <c:crossAx val="1273155432"/>
        <c:crosses val="autoZero"/>
        <c:auto val="1"/>
        <c:lblAlgn val="ctr"/>
        <c:lblOffset val="100"/>
        <c:noMultiLvlLbl val="0"/>
      </c:catAx>
      <c:valAx>
        <c:axId val="1273155432"/>
        <c:scaling>
          <c:orientation val="minMax"/>
        </c:scaling>
        <c:delete val="1"/>
        <c:axPos val="l"/>
        <c:numFmt formatCode="0.00" sourceLinked="1"/>
        <c:majorTickMark val="none"/>
        <c:minorTickMark val="none"/>
        <c:tickLblPos val="nextTo"/>
        <c:crossAx val="127315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Dashboard.xlsx]Sheet1!PivotTable10</c:name>
    <c:fmtId val="18"/>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pPr>
            <a:solidFill>
              <a:schemeClr val="accent1"/>
            </a:solidFill>
            <a:ln w="9525">
              <a:solidFill>
                <a:schemeClr val="accent1"/>
              </a:solidFill>
            </a:ln>
            <a:effectLst/>
          </c:spPr>
        </c:marker>
      </c:pivotFmt>
      <c:pivotFmt>
        <c:idx val="6"/>
        <c:spPr>
          <a:solidFill>
            <a:schemeClr val="accent1"/>
          </a:solidFill>
          <a:ln>
            <a:noFill/>
          </a:ln>
          <a:effectLst/>
        </c:spPr>
        <c:marker>
          <c:spPr>
            <a:solidFill>
              <a:schemeClr val="accent1"/>
            </a:solidFill>
            <a:ln w="9525">
              <a:solidFill>
                <a:schemeClr val="accent1"/>
              </a:solidFill>
            </a:ln>
            <a:effectLst/>
          </c:spPr>
        </c:marker>
      </c:pivotFmt>
      <c:pivotFmt>
        <c:idx val="7"/>
        <c:spPr>
          <a:solidFill>
            <a:schemeClr val="accent1"/>
          </a:solidFill>
          <a:ln>
            <a:noFill/>
          </a:ln>
          <a:effectLst/>
        </c:spPr>
        <c:marker>
          <c:spPr>
            <a:solidFill>
              <a:schemeClr val="accent1"/>
            </a:solidFill>
            <a:ln w="9525">
              <a:solidFill>
                <a:schemeClr val="accent1"/>
              </a:solidFill>
            </a:ln>
            <a:effectLst/>
          </c:spPr>
        </c:marker>
      </c:pivotFmt>
      <c:pivotFmt>
        <c:idx val="8"/>
        <c:spPr>
          <a:solidFill>
            <a:schemeClr val="accent1"/>
          </a:solidFill>
          <a:ln>
            <a:noFill/>
          </a:ln>
          <a:effectLst/>
        </c:spPr>
        <c:marker>
          <c:spPr>
            <a:solidFill>
              <a:schemeClr val="accent1"/>
            </a:solidFill>
            <a:ln w="9525">
              <a:solidFill>
                <a:schemeClr val="accent1"/>
              </a:solidFill>
            </a:ln>
            <a:effectLst/>
          </c:spPr>
        </c:marker>
      </c:pivotFmt>
      <c:pivotFmt>
        <c:idx val="9"/>
        <c:spPr>
          <a:solidFill>
            <a:schemeClr val="accent1"/>
          </a:solidFill>
          <a:ln>
            <a:noFill/>
          </a:ln>
          <a:effectLst/>
        </c:spPr>
        <c:marker>
          <c:spPr>
            <a:solidFill>
              <a:schemeClr val="accent1"/>
            </a:solidFill>
            <a:ln w="9525">
              <a:solidFill>
                <a:schemeClr val="accent1"/>
              </a:solidFill>
            </a:ln>
            <a:effectLst/>
          </c:spPr>
        </c:marker>
      </c:pivotFmt>
    </c:pivotFmts>
    <c:plotArea>
      <c:layout>
        <c:manualLayout>
          <c:layoutTarget val="inner"/>
          <c:xMode val="edge"/>
          <c:yMode val="edge"/>
          <c:x val="0.31130377504727569"/>
          <c:y val="2.6599233082933407E-2"/>
          <c:w val="0.5633875464336191"/>
          <c:h val="0.95511575883235689"/>
        </c:manualLayout>
      </c:layout>
      <c:barChart>
        <c:barDir val="bar"/>
        <c:grouping val="clustered"/>
        <c:varyColors val="0"/>
        <c:ser>
          <c:idx val="0"/>
          <c:order val="0"/>
          <c:tx>
            <c:strRef>
              <c:f>Sheet1!$E$40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Sheet1!$D$41:$D$49</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Sheet1!$E$41:$E$49</c:f>
              <c:numCache>
                <c:formatCode>0.00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0-70EB-4A90-916B-8CFCEEA18DDB}"/>
            </c:ext>
          </c:extLst>
        </c:ser>
        <c:dLbls>
          <c:showLegendKey val="0"/>
          <c:showVal val="0"/>
          <c:showCatName val="0"/>
          <c:showSerName val="0"/>
          <c:showPercent val="0"/>
          <c:showBubbleSize val="0"/>
        </c:dLbls>
        <c:gapWidth val="38"/>
        <c:axId val="2015018712"/>
        <c:axId val="2015016552"/>
      </c:barChart>
      <c:catAx>
        <c:axId val="2015018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15016552"/>
        <c:crosses val="autoZero"/>
        <c:auto val="1"/>
        <c:lblAlgn val="l"/>
        <c:lblOffset val="100"/>
        <c:noMultiLvlLbl val="0"/>
      </c:catAx>
      <c:valAx>
        <c:axId val="2015016552"/>
        <c:scaling>
          <c:orientation val="minMax"/>
        </c:scaling>
        <c:delete val="1"/>
        <c:axPos val="b"/>
        <c:numFmt formatCode="0.00" sourceLinked="1"/>
        <c:majorTickMark val="none"/>
        <c:minorTickMark val="none"/>
        <c:tickLblPos val="nextTo"/>
        <c:crossAx val="2015018712"/>
        <c:crosses val="autoZero"/>
        <c:crossBetween val="between"/>
      </c:valAx>
      <c:spPr>
        <a:noFill/>
        <a:ln>
          <a:noFill/>
        </a:ln>
        <a:effectLst>
          <a:outerShdw blurRad="50800" dist="50800" dir="5400000" sx="1000" sy="1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Dashboard.xlsx]Sheet1!PivotTable11</c:name>
    <c:fmtId val="26"/>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4.1666666666666567E-2"/>
              <c:y val="-0.19444444444444448"/>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0277777777777777"/>
              <c:y val="0.21759259259259259"/>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1666666666666567E-2"/>
              <c:y val="-0.19444444444444448"/>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0277777777777777"/>
              <c:y val="0.21759259259259259"/>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830009503263718"/>
          <c:y val="0.1933057902498225"/>
          <c:w val="0.45969714416520424"/>
          <c:h val="0.6134745109220392"/>
        </c:manualLayout>
      </c:layout>
      <c:doughnutChart>
        <c:varyColors val="1"/>
        <c:ser>
          <c:idx val="0"/>
          <c:order val="0"/>
          <c:tx>
            <c:strRef>
              <c:f>Sheet1!$H$40</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45B-48E1-8409-082C6AE18AF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45B-48E1-8409-082C6AE18AF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Sheet1!$G$41:$G$43</c:f>
              <c:strCache>
                <c:ptCount val="2"/>
                <c:pt idx="0">
                  <c:v>F</c:v>
                </c:pt>
                <c:pt idx="1">
                  <c:v>M</c:v>
                </c:pt>
              </c:strCache>
            </c:strRef>
          </c:cat>
          <c:val>
            <c:numRef>
              <c:f>Sheet1!$H$41:$H$43</c:f>
              <c:numCache>
                <c:formatCode>0</c:formatCode>
                <c:ptCount val="2"/>
                <c:pt idx="0">
                  <c:v>254</c:v>
                </c:pt>
                <c:pt idx="1">
                  <c:v>265</c:v>
                </c:pt>
              </c:numCache>
            </c:numRef>
          </c:val>
          <c:extLst>
            <c:ext xmlns:c16="http://schemas.microsoft.com/office/drawing/2014/chart" uri="{C3380CC4-5D6E-409C-BE32-E72D297353CC}">
              <c16:uniqueId val="{00000004-F45B-48E1-8409-082C6AE18AFF}"/>
            </c:ext>
          </c:extLst>
        </c:ser>
        <c:dLbls>
          <c:showLegendKey val="0"/>
          <c:showVal val="0"/>
          <c:showCatName val="0"/>
          <c:showSerName val="0"/>
          <c:showPercent val="1"/>
          <c:showBubbleSize val="0"/>
          <c:showLeaderLines val="1"/>
        </c:dLbls>
        <c:firstSliceAng val="0"/>
        <c:holeSize val="46"/>
      </c:doughnutChart>
      <c:spPr>
        <a:noFill/>
        <a:ln>
          <a:noFill/>
        </a:ln>
        <a:effectLst/>
      </c:spPr>
    </c:plotArea>
    <c:legend>
      <c:legendPos val="t"/>
      <c:layout>
        <c:manualLayout>
          <c:xMode val="edge"/>
          <c:yMode val="edge"/>
          <c:x val="0.31186381892467446"/>
          <c:y val="4.7026281952183155E-2"/>
          <c:w val="0.32341479318262223"/>
          <c:h val="0.1278540926288154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Dashboard.xlsx]Sheet1!PivotTable12</c:name>
    <c:fmtId val="30"/>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5.3689851268591427E-3"/>
              <c:y val="0.1111322543015457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8.8304899387576553E-3"/>
              <c:y val="-7.763633712452609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3689851268591427E-3"/>
              <c:y val="0.1111322543015457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8.8304899387576553E-3"/>
              <c:y val="-7.763633712452609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102777777777779"/>
          <c:y val="0.20752567857626056"/>
          <c:w val="0.48176210826210825"/>
          <c:h val="0.61832804952518861"/>
        </c:manualLayout>
      </c:layout>
      <c:pieChart>
        <c:varyColors val="1"/>
        <c:ser>
          <c:idx val="0"/>
          <c:order val="0"/>
          <c:tx>
            <c:strRef>
              <c:f>Sheet1!$H$46</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846-466A-B1AA-A1E8A091A86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846-466A-B1AA-A1E8A091A8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Sheet1!$G$47:$G$49</c:f>
              <c:strCache>
                <c:ptCount val="2"/>
                <c:pt idx="0">
                  <c:v>Delay</c:v>
                </c:pt>
                <c:pt idx="1">
                  <c:v>On time</c:v>
                </c:pt>
              </c:strCache>
            </c:strRef>
          </c:cat>
          <c:val>
            <c:numRef>
              <c:f>Sheet1!$H$47:$H$49</c:f>
              <c:numCache>
                <c:formatCode>0.00%</c:formatCode>
                <c:ptCount val="2"/>
                <c:pt idx="0">
                  <c:v>0.64739884393063585</c:v>
                </c:pt>
                <c:pt idx="1">
                  <c:v>0.35260115606936415</c:v>
                </c:pt>
              </c:numCache>
            </c:numRef>
          </c:val>
          <c:extLst>
            <c:ext xmlns:c16="http://schemas.microsoft.com/office/drawing/2014/chart" uri="{C3380CC4-5D6E-409C-BE32-E72D297353CC}">
              <c16:uniqueId val="{00000004-A846-466A-B1AA-A1E8A091A86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12853347578347579"/>
          <c:y val="1.1609751459903393E-2"/>
          <c:w val="0.74542398487251194"/>
          <c:h val="0.195335585211974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Dashboard.xlsx]Sheet1!PivotTable13</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888801591656858E-2"/>
          <c:y val="0.31092454129501657"/>
          <c:w val="0.97499999999999998"/>
          <c:h val="0.53054018448908935"/>
        </c:manualLayout>
      </c:layout>
      <c:barChart>
        <c:barDir val="col"/>
        <c:grouping val="clustered"/>
        <c:varyColors val="0"/>
        <c:ser>
          <c:idx val="0"/>
          <c:order val="0"/>
          <c:tx>
            <c:strRef>
              <c:f>Sheet1!$E$52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Sheet1!$D$53:$D$61</c:f>
              <c:strCache>
                <c:ptCount val="8"/>
                <c:pt idx="0">
                  <c:v>0-9</c:v>
                </c:pt>
                <c:pt idx="1">
                  <c:v>10-19</c:v>
                </c:pt>
                <c:pt idx="2">
                  <c:v>20-29</c:v>
                </c:pt>
                <c:pt idx="3">
                  <c:v>30-39</c:v>
                </c:pt>
                <c:pt idx="4">
                  <c:v>40-49</c:v>
                </c:pt>
                <c:pt idx="5">
                  <c:v>50-59</c:v>
                </c:pt>
                <c:pt idx="6">
                  <c:v>60-69</c:v>
                </c:pt>
                <c:pt idx="7">
                  <c:v>70-79</c:v>
                </c:pt>
              </c:strCache>
            </c:strRef>
          </c:cat>
          <c:val>
            <c:numRef>
              <c:f>Sheet1!$E$53:$E$61</c:f>
              <c:numCache>
                <c:formatCode>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0-0A8A-431B-8343-BCDF9A3EB125}"/>
            </c:ext>
          </c:extLst>
        </c:ser>
        <c:dLbls>
          <c:dLblPos val="inEnd"/>
          <c:showLegendKey val="0"/>
          <c:showVal val="1"/>
          <c:showCatName val="0"/>
          <c:showSerName val="0"/>
          <c:showPercent val="0"/>
          <c:showBubbleSize val="0"/>
        </c:dLbls>
        <c:gapWidth val="65"/>
        <c:axId val="2011741440"/>
        <c:axId val="2011741800"/>
      </c:barChart>
      <c:catAx>
        <c:axId val="20117414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1741800"/>
        <c:crosses val="autoZero"/>
        <c:auto val="1"/>
        <c:lblAlgn val="ctr"/>
        <c:lblOffset val="100"/>
        <c:noMultiLvlLbl val="0"/>
      </c:catAx>
      <c:valAx>
        <c:axId val="2011741800"/>
        <c:scaling>
          <c:orientation val="minMax"/>
        </c:scaling>
        <c:delete val="1"/>
        <c:axPos val="l"/>
        <c:numFmt formatCode="0" sourceLinked="1"/>
        <c:majorTickMark val="none"/>
        <c:minorTickMark val="none"/>
        <c:tickLblPos val="nextTo"/>
        <c:crossAx val="201174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Dashboard.xlsx]Sheet1!PivotTable5</c:name>
    <c:fmtId val="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998517846693235E-2"/>
          <c:y val="0.10209705953434295"/>
          <c:w val="0.91910473662934922"/>
          <c:h val="0.68331672748777428"/>
        </c:manualLayout>
      </c:layout>
      <c:areaChart>
        <c:grouping val="standard"/>
        <c:varyColors val="0"/>
        <c:ser>
          <c:idx val="0"/>
          <c:order val="0"/>
          <c:tx>
            <c:strRef>
              <c:f>Sheet1!$E$4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Sheet1!$E$5:$E$36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C777-4111-B453-D05704DDDEB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84250816"/>
        <c:axId val="1284245416"/>
      </c:areaChart>
      <c:catAx>
        <c:axId val="128425081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84245416"/>
        <c:crosses val="autoZero"/>
        <c:auto val="1"/>
        <c:lblAlgn val="ctr"/>
        <c:lblOffset val="100"/>
        <c:noMultiLvlLbl val="0"/>
      </c:catAx>
      <c:valAx>
        <c:axId val="1284245416"/>
        <c:scaling>
          <c:orientation val="minMax"/>
        </c:scaling>
        <c:delete val="1"/>
        <c:axPos val="l"/>
        <c:numFmt formatCode="General" sourceLinked="1"/>
        <c:majorTickMark val="out"/>
        <c:minorTickMark val="none"/>
        <c:tickLblPos val="nextTo"/>
        <c:crossAx val="12842508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Dashboard.xlsx]Sheet1!PivotTable6</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Sheet1!$G$5:$G$36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Sheet1!$H$5:$H$36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06B7-4675-B90A-1946CE37C23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73125480"/>
        <c:axId val="1273125120"/>
      </c:areaChart>
      <c:catAx>
        <c:axId val="12731254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73125120"/>
        <c:crosses val="autoZero"/>
        <c:auto val="1"/>
        <c:lblAlgn val="ctr"/>
        <c:lblOffset val="100"/>
        <c:noMultiLvlLbl val="0"/>
      </c:catAx>
      <c:valAx>
        <c:axId val="1273125120"/>
        <c:scaling>
          <c:orientation val="minMax"/>
        </c:scaling>
        <c:delete val="1"/>
        <c:axPos val="l"/>
        <c:numFmt formatCode="0.00" sourceLinked="1"/>
        <c:majorTickMark val="out"/>
        <c:minorTickMark val="none"/>
        <c:tickLblPos val="nextTo"/>
        <c:crossAx val="12731254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Dashboard.xlsx]Sheet1!PivotTable7</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Sheet1!$J$5:$J$36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Sheet1!$K$5:$K$36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6614-44E0-84CE-63B09840BE3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73157952"/>
        <c:axId val="1273155432"/>
      </c:areaChart>
      <c:catAx>
        <c:axId val="12731579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73155432"/>
        <c:crosses val="autoZero"/>
        <c:auto val="1"/>
        <c:lblAlgn val="ctr"/>
        <c:lblOffset val="100"/>
        <c:noMultiLvlLbl val="0"/>
      </c:catAx>
      <c:valAx>
        <c:axId val="1273155432"/>
        <c:scaling>
          <c:orientation val="minMax"/>
        </c:scaling>
        <c:delete val="1"/>
        <c:axPos val="l"/>
        <c:numFmt formatCode="0.00" sourceLinked="1"/>
        <c:majorTickMark val="out"/>
        <c:minorTickMark val="none"/>
        <c:tickLblPos val="nextTo"/>
        <c:crossAx val="127315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Sheet5!A1"/><Relationship Id="rId7" Type="http://schemas.openxmlformats.org/officeDocument/2006/relationships/image" Target="../media/image1.emf"/><Relationship Id="rId12"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hyperlink" Target="#Sheet3!A1"/><Relationship Id="rId6" Type="http://schemas.openxmlformats.org/officeDocument/2006/relationships/chart" Target="../charts/chart4.xml"/><Relationship Id="rId11" Type="http://schemas.openxmlformats.org/officeDocument/2006/relationships/chart" Target="../charts/chart8.xml"/><Relationship Id="rId5" Type="http://schemas.openxmlformats.org/officeDocument/2006/relationships/hyperlink" Target="#Sheet6!A1"/><Relationship Id="rId10" Type="http://schemas.openxmlformats.org/officeDocument/2006/relationships/chart" Target="../charts/chart7.xml"/><Relationship Id="rId4" Type="http://schemas.openxmlformats.org/officeDocument/2006/relationships/chart" Target="../charts/chart3.xml"/><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15</xdr:col>
      <xdr:colOff>6350</xdr:colOff>
      <xdr:row>3</xdr:row>
      <xdr:rowOff>25400</xdr:rowOff>
    </xdr:from>
    <xdr:to>
      <xdr:col>16</xdr:col>
      <xdr:colOff>132248</xdr:colOff>
      <xdr:row>6</xdr:row>
      <xdr:rowOff>12700</xdr:rowOff>
    </xdr:to>
    <xdr:graphicFrame macro="">
      <xdr:nvGraphicFramePr>
        <xdr:cNvPr id="9" name="Chart 8">
          <a:extLst>
            <a:ext uri="{FF2B5EF4-FFF2-40B4-BE49-F238E27FC236}">
              <a16:creationId xmlns:a16="http://schemas.microsoft.com/office/drawing/2014/main" id="{657E9685-4BE9-91E3-EADC-C581FB9FE8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49306</xdr:colOff>
      <xdr:row>0</xdr:row>
      <xdr:rowOff>53788</xdr:rowOff>
    </xdr:from>
    <xdr:to>
      <xdr:col>5</xdr:col>
      <xdr:colOff>537883</xdr:colOff>
      <xdr:row>2</xdr:row>
      <xdr:rowOff>125505</xdr:rowOff>
    </xdr:to>
    <xdr:sp macro="" textlink="">
      <xdr:nvSpPr>
        <xdr:cNvPr id="11" name="Rectangle: Rounded Corners 10">
          <a:extLst>
            <a:ext uri="{FF2B5EF4-FFF2-40B4-BE49-F238E27FC236}">
              <a16:creationId xmlns:a16="http://schemas.microsoft.com/office/drawing/2014/main" id="{A04786A4-0539-4DD1-571E-184DC0CC807C}"/>
            </a:ext>
          </a:extLst>
        </xdr:cNvPr>
        <xdr:cNvSpPr/>
      </xdr:nvSpPr>
      <xdr:spPr>
        <a:xfrm>
          <a:off x="49306" y="53788"/>
          <a:ext cx="3536577" cy="435132"/>
        </a:xfrm>
        <a:prstGeom prst="roundRect">
          <a:avLst>
            <a:gd name="adj" fmla="val 1054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605117</xdr:colOff>
      <xdr:row>0</xdr:row>
      <xdr:rowOff>58271</xdr:rowOff>
    </xdr:from>
    <xdr:to>
      <xdr:col>8</xdr:col>
      <xdr:colOff>4482</xdr:colOff>
      <xdr:row>2</xdr:row>
      <xdr:rowOff>129988</xdr:rowOff>
    </xdr:to>
    <xdr:sp macro="" textlink="">
      <xdr:nvSpPr>
        <xdr:cNvPr id="13" name="Rectangle: Rounded Corners 12">
          <a:extLst>
            <a:ext uri="{FF2B5EF4-FFF2-40B4-BE49-F238E27FC236}">
              <a16:creationId xmlns:a16="http://schemas.microsoft.com/office/drawing/2014/main" id="{BC3C39EA-F3AA-73DC-E2FC-738EE4A06898}"/>
            </a:ext>
          </a:extLst>
        </xdr:cNvPr>
        <xdr:cNvSpPr/>
      </xdr:nvSpPr>
      <xdr:spPr>
        <a:xfrm>
          <a:off x="3653117" y="58271"/>
          <a:ext cx="1228165" cy="439270"/>
        </a:xfrm>
        <a:prstGeom prst="roundRect">
          <a:avLst>
            <a:gd name="adj" fmla="val 10545"/>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80683</xdr:colOff>
      <xdr:row>0</xdr:row>
      <xdr:rowOff>67235</xdr:rowOff>
    </xdr:from>
    <xdr:to>
      <xdr:col>10</xdr:col>
      <xdr:colOff>242047</xdr:colOff>
      <xdr:row>6</xdr:row>
      <xdr:rowOff>53788</xdr:rowOff>
    </xdr:to>
    <xdr:sp macro="" textlink="">
      <xdr:nvSpPr>
        <xdr:cNvPr id="14" name="Rectangle: Rounded Corners 13">
          <a:extLst>
            <a:ext uri="{FF2B5EF4-FFF2-40B4-BE49-F238E27FC236}">
              <a16:creationId xmlns:a16="http://schemas.microsoft.com/office/drawing/2014/main" id="{13A82EF3-4661-84AB-1FE2-834681BF53DE}"/>
            </a:ext>
          </a:extLst>
        </xdr:cNvPr>
        <xdr:cNvSpPr/>
      </xdr:nvSpPr>
      <xdr:spPr>
        <a:xfrm>
          <a:off x="4957483" y="67235"/>
          <a:ext cx="1380564" cy="1089212"/>
        </a:xfrm>
        <a:prstGeom prst="roundRect">
          <a:avLst>
            <a:gd name="adj" fmla="val 3960"/>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515472</xdr:colOff>
      <xdr:row>3</xdr:row>
      <xdr:rowOff>17930</xdr:rowOff>
    </xdr:from>
    <xdr:to>
      <xdr:col>8</xdr:col>
      <xdr:colOff>8966</xdr:colOff>
      <xdr:row>9</xdr:row>
      <xdr:rowOff>31377</xdr:rowOff>
    </xdr:to>
    <xdr:sp macro="" textlink="">
      <xdr:nvSpPr>
        <xdr:cNvPr id="15" name="Rectangle: Rounded Corners 14">
          <a:extLst>
            <a:ext uri="{FF2B5EF4-FFF2-40B4-BE49-F238E27FC236}">
              <a16:creationId xmlns:a16="http://schemas.microsoft.com/office/drawing/2014/main" id="{2BB70661-310D-E557-5585-9E4A6F6F3933}"/>
            </a:ext>
          </a:extLst>
        </xdr:cNvPr>
        <xdr:cNvSpPr/>
      </xdr:nvSpPr>
      <xdr:spPr>
        <a:xfrm>
          <a:off x="3569520" y="562216"/>
          <a:ext cx="1325922" cy="1102018"/>
        </a:xfrm>
        <a:prstGeom prst="roundRect">
          <a:avLst>
            <a:gd name="adj" fmla="val 2901"/>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318247</xdr:colOff>
      <xdr:row>0</xdr:row>
      <xdr:rowOff>62752</xdr:rowOff>
    </xdr:from>
    <xdr:to>
      <xdr:col>12</xdr:col>
      <xdr:colOff>551331</xdr:colOff>
      <xdr:row>6</xdr:row>
      <xdr:rowOff>49305</xdr:rowOff>
    </xdr:to>
    <xdr:sp macro="" textlink="">
      <xdr:nvSpPr>
        <xdr:cNvPr id="17" name="Rectangle: Rounded Corners 16">
          <a:extLst>
            <a:ext uri="{FF2B5EF4-FFF2-40B4-BE49-F238E27FC236}">
              <a16:creationId xmlns:a16="http://schemas.microsoft.com/office/drawing/2014/main" id="{51EB339E-3A0F-2DB9-7568-75546F91C935}"/>
            </a:ext>
          </a:extLst>
        </xdr:cNvPr>
        <xdr:cNvSpPr/>
      </xdr:nvSpPr>
      <xdr:spPr>
        <a:xfrm>
          <a:off x="6414247" y="62752"/>
          <a:ext cx="1452284" cy="1089212"/>
        </a:xfrm>
        <a:prstGeom prst="roundRect">
          <a:avLst>
            <a:gd name="adj" fmla="val 6018"/>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345140</xdr:colOff>
      <xdr:row>3</xdr:row>
      <xdr:rowOff>17930</xdr:rowOff>
    </xdr:from>
    <xdr:to>
      <xdr:col>5</xdr:col>
      <xdr:colOff>439271</xdr:colOff>
      <xdr:row>9</xdr:row>
      <xdr:rowOff>31377</xdr:rowOff>
    </xdr:to>
    <xdr:sp macro="" textlink="">
      <xdr:nvSpPr>
        <xdr:cNvPr id="19" name="Rectangle: Rounded Corners 18">
          <a:extLst>
            <a:ext uri="{FF2B5EF4-FFF2-40B4-BE49-F238E27FC236}">
              <a16:creationId xmlns:a16="http://schemas.microsoft.com/office/drawing/2014/main" id="{A342EBBC-03F9-2EC7-98A8-68C9FE4C5618}"/>
            </a:ext>
          </a:extLst>
        </xdr:cNvPr>
        <xdr:cNvSpPr/>
      </xdr:nvSpPr>
      <xdr:spPr>
        <a:xfrm>
          <a:off x="2177430" y="567617"/>
          <a:ext cx="1315658" cy="1112821"/>
        </a:xfrm>
        <a:prstGeom prst="roundRect">
          <a:avLst>
            <a:gd name="adj" fmla="val 2966"/>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174812</xdr:colOff>
      <xdr:row>3</xdr:row>
      <xdr:rowOff>17930</xdr:rowOff>
    </xdr:from>
    <xdr:to>
      <xdr:col>3</xdr:col>
      <xdr:colOff>255496</xdr:colOff>
      <xdr:row>9</xdr:row>
      <xdr:rowOff>31377</xdr:rowOff>
    </xdr:to>
    <xdr:sp macro="" textlink="">
      <xdr:nvSpPr>
        <xdr:cNvPr id="20" name="Rectangle: Rounded Corners 19">
          <a:extLst>
            <a:ext uri="{FF2B5EF4-FFF2-40B4-BE49-F238E27FC236}">
              <a16:creationId xmlns:a16="http://schemas.microsoft.com/office/drawing/2014/main" id="{56AB8249-CAEC-0B3D-F220-776280F3768D}"/>
            </a:ext>
          </a:extLst>
        </xdr:cNvPr>
        <xdr:cNvSpPr/>
      </xdr:nvSpPr>
      <xdr:spPr>
        <a:xfrm>
          <a:off x="783761" y="565007"/>
          <a:ext cx="1298581" cy="1107601"/>
        </a:xfrm>
        <a:prstGeom prst="roundRect">
          <a:avLst>
            <a:gd name="adj" fmla="val 4077"/>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65512</xdr:colOff>
      <xdr:row>3</xdr:row>
      <xdr:rowOff>22411</xdr:rowOff>
    </xdr:from>
    <xdr:to>
      <xdr:col>1</xdr:col>
      <xdr:colOff>105853</xdr:colOff>
      <xdr:row>19</xdr:row>
      <xdr:rowOff>116541</xdr:rowOff>
    </xdr:to>
    <xdr:sp macro="" textlink="">
      <xdr:nvSpPr>
        <xdr:cNvPr id="21" name="Rectangle: Rounded Corners 20">
          <a:extLst>
            <a:ext uri="{FF2B5EF4-FFF2-40B4-BE49-F238E27FC236}">
              <a16:creationId xmlns:a16="http://schemas.microsoft.com/office/drawing/2014/main" id="{BAD0DC63-9797-43E9-BBEB-0BE4B36ABA9B}"/>
            </a:ext>
          </a:extLst>
        </xdr:cNvPr>
        <xdr:cNvSpPr/>
      </xdr:nvSpPr>
      <xdr:spPr>
        <a:xfrm>
          <a:off x="65512" y="567534"/>
          <a:ext cx="649941" cy="3001453"/>
        </a:xfrm>
        <a:prstGeom prst="roundRect">
          <a:avLst>
            <a:gd name="adj" fmla="val 10545"/>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170329</xdr:colOff>
      <xdr:row>9</xdr:row>
      <xdr:rowOff>107576</xdr:rowOff>
    </xdr:from>
    <xdr:to>
      <xdr:col>8</xdr:col>
      <xdr:colOff>13448</xdr:colOff>
      <xdr:row>12</xdr:row>
      <xdr:rowOff>66524</xdr:rowOff>
    </xdr:to>
    <xdr:sp macro="" textlink="">
      <xdr:nvSpPr>
        <xdr:cNvPr id="26" name="Rectangle: Rounded Corners 25">
          <a:extLst>
            <a:ext uri="{FF2B5EF4-FFF2-40B4-BE49-F238E27FC236}">
              <a16:creationId xmlns:a16="http://schemas.microsoft.com/office/drawing/2014/main" id="{4A6AE4F6-E3E7-4463-9633-D231F55DC8AF}"/>
            </a:ext>
          </a:extLst>
        </xdr:cNvPr>
        <xdr:cNvSpPr/>
      </xdr:nvSpPr>
      <xdr:spPr>
        <a:xfrm>
          <a:off x="781139" y="1740433"/>
          <a:ext cx="4118785" cy="503234"/>
        </a:xfrm>
        <a:prstGeom prst="roundRect">
          <a:avLst>
            <a:gd name="adj" fmla="val 10545"/>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170329</xdr:colOff>
      <xdr:row>12</xdr:row>
      <xdr:rowOff>133047</xdr:rowOff>
    </xdr:from>
    <xdr:to>
      <xdr:col>8</xdr:col>
      <xdr:colOff>13448</xdr:colOff>
      <xdr:row>19</xdr:row>
      <xdr:rowOff>125505</xdr:rowOff>
    </xdr:to>
    <xdr:sp macro="" textlink="">
      <xdr:nvSpPr>
        <xdr:cNvPr id="27" name="Rectangle: Rounded Corners 26">
          <a:extLst>
            <a:ext uri="{FF2B5EF4-FFF2-40B4-BE49-F238E27FC236}">
              <a16:creationId xmlns:a16="http://schemas.microsoft.com/office/drawing/2014/main" id="{E63B3388-6781-426F-BF2E-3F06980C227F}"/>
            </a:ext>
          </a:extLst>
        </xdr:cNvPr>
        <xdr:cNvSpPr/>
      </xdr:nvSpPr>
      <xdr:spPr>
        <a:xfrm>
          <a:off x="781139" y="2310190"/>
          <a:ext cx="4118785" cy="1262458"/>
        </a:xfrm>
        <a:prstGeom prst="roundRect">
          <a:avLst>
            <a:gd name="adj" fmla="val 5562"/>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8</xdr:col>
      <xdr:colOff>80682</xdr:colOff>
      <xdr:row>6</xdr:row>
      <xdr:rowOff>134469</xdr:rowOff>
    </xdr:from>
    <xdr:to>
      <xdr:col>12</xdr:col>
      <xdr:colOff>551331</xdr:colOff>
      <xdr:row>19</xdr:row>
      <xdr:rowOff>121023</xdr:rowOff>
    </xdr:to>
    <xdr:sp macro="" textlink="">
      <xdr:nvSpPr>
        <xdr:cNvPr id="28" name="Rectangle: Rounded Corners 27">
          <a:extLst>
            <a:ext uri="{FF2B5EF4-FFF2-40B4-BE49-F238E27FC236}">
              <a16:creationId xmlns:a16="http://schemas.microsoft.com/office/drawing/2014/main" id="{B1AD6775-7C9B-466D-9955-66947111898E}"/>
            </a:ext>
          </a:extLst>
        </xdr:cNvPr>
        <xdr:cNvSpPr/>
      </xdr:nvSpPr>
      <xdr:spPr>
        <a:xfrm>
          <a:off x="4957482" y="1237128"/>
          <a:ext cx="2909049" cy="2375648"/>
        </a:xfrm>
        <a:prstGeom prst="roundRect">
          <a:avLst>
            <a:gd name="adj" fmla="val 3298"/>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105507</xdr:colOff>
      <xdr:row>0</xdr:row>
      <xdr:rowOff>134815</xdr:rowOff>
    </xdr:from>
    <xdr:ext cx="2813539" cy="264562"/>
    <xdr:sp macro="" textlink="">
      <xdr:nvSpPr>
        <xdr:cNvPr id="30" name="TextBox 29">
          <a:extLst>
            <a:ext uri="{FF2B5EF4-FFF2-40B4-BE49-F238E27FC236}">
              <a16:creationId xmlns:a16="http://schemas.microsoft.com/office/drawing/2014/main" id="{0D1E9E89-2656-ACC3-231D-B73CC6EE5EF0}"/>
            </a:ext>
          </a:extLst>
        </xdr:cNvPr>
        <xdr:cNvSpPr txBox="1"/>
      </xdr:nvSpPr>
      <xdr:spPr>
        <a:xfrm>
          <a:off x="715107" y="134815"/>
          <a:ext cx="2813539" cy="264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IN" sz="1400" b="1"/>
            <a:t>Hospital Emergency Room</a:t>
          </a:r>
          <a:r>
            <a:rPr lang="en-IN" sz="1400" b="1" baseline="0"/>
            <a:t> Dashboard</a:t>
          </a:r>
          <a:endParaRPr lang="en-IN" sz="1400" b="1"/>
        </a:p>
      </xdr:txBody>
    </xdr:sp>
    <xdr:clientData/>
  </xdr:oneCellAnchor>
  <xdr:oneCellAnchor>
    <xdr:from>
      <xdr:col>1</xdr:col>
      <xdr:colOff>164124</xdr:colOff>
      <xdr:row>5</xdr:row>
      <xdr:rowOff>5862</xdr:rowOff>
    </xdr:from>
    <xdr:ext cx="1312985" cy="264562"/>
    <xdr:sp macro="" textlink="">
      <xdr:nvSpPr>
        <xdr:cNvPr id="31" name="TextBox 30">
          <a:extLst>
            <a:ext uri="{FF2B5EF4-FFF2-40B4-BE49-F238E27FC236}">
              <a16:creationId xmlns:a16="http://schemas.microsoft.com/office/drawing/2014/main" id="{461FDA43-457C-477A-9B8D-AEFBCEBFC409}"/>
            </a:ext>
          </a:extLst>
        </xdr:cNvPr>
        <xdr:cNvSpPr txBox="1"/>
      </xdr:nvSpPr>
      <xdr:spPr>
        <a:xfrm>
          <a:off x="773724" y="914400"/>
          <a:ext cx="1312985" cy="264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000" b="0"/>
            <a:t>No</a:t>
          </a:r>
          <a:r>
            <a:rPr lang="en-IN" sz="1000" b="0" baseline="0"/>
            <a:t>. of Patients</a:t>
          </a:r>
          <a:endParaRPr lang="en-IN" sz="1000" b="0"/>
        </a:p>
      </xdr:txBody>
    </xdr:sp>
    <xdr:clientData/>
  </xdr:oneCellAnchor>
  <xdr:oneCellAnchor>
    <xdr:from>
      <xdr:col>1</xdr:col>
      <xdr:colOff>164124</xdr:colOff>
      <xdr:row>3</xdr:row>
      <xdr:rowOff>164123</xdr:rowOff>
    </xdr:from>
    <xdr:ext cx="1312985" cy="264562"/>
    <xdr:sp macro="" textlink="Sheet1!A5">
      <xdr:nvSpPr>
        <xdr:cNvPr id="32" name="TextBox 31">
          <a:extLst>
            <a:ext uri="{FF2B5EF4-FFF2-40B4-BE49-F238E27FC236}">
              <a16:creationId xmlns:a16="http://schemas.microsoft.com/office/drawing/2014/main" id="{131AA5DA-3564-C20C-108F-3A35FE8A1D3C}"/>
            </a:ext>
          </a:extLst>
        </xdr:cNvPr>
        <xdr:cNvSpPr txBox="1"/>
      </xdr:nvSpPr>
      <xdr:spPr>
        <a:xfrm>
          <a:off x="773724" y="709246"/>
          <a:ext cx="1312985" cy="264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fld id="{2C7529CA-DF27-42D9-9617-7DEC9DDD2156}" type="TxLink">
            <a:rPr lang="en-US" sz="1200" b="1" i="0" u="none" strike="noStrike">
              <a:solidFill>
                <a:srgbClr val="000000"/>
              </a:solidFill>
              <a:latin typeface="Aptos Narrow"/>
            </a:rPr>
            <a:t>519</a:t>
          </a:fld>
          <a:endParaRPr lang="en-IN" sz="1000" b="1"/>
        </a:p>
      </xdr:txBody>
    </xdr:sp>
    <xdr:clientData/>
  </xdr:oneCellAnchor>
  <xdr:oneCellAnchor>
    <xdr:from>
      <xdr:col>3</xdr:col>
      <xdr:colOff>345832</xdr:colOff>
      <xdr:row>5</xdr:row>
      <xdr:rowOff>5862</xdr:rowOff>
    </xdr:from>
    <xdr:ext cx="1312985" cy="264562"/>
    <xdr:sp macro="" textlink="">
      <xdr:nvSpPr>
        <xdr:cNvPr id="33" name="TextBox 32">
          <a:extLst>
            <a:ext uri="{FF2B5EF4-FFF2-40B4-BE49-F238E27FC236}">
              <a16:creationId xmlns:a16="http://schemas.microsoft.com/office/drawing/2014/main" id="{4EB4545B-9DD7-6412-F659-1A428E495FE6}"/>
            </a:ext>
          </a:extLst>
        </xdr:cNvPr>
        <xdr:cNvSpPr txBox="1"/>
      </xdr:nvSpPr>
      <xdr:spPr>
        <a:xfrm>
          <a:off x="2174632" y="914400"/>
          <a:ext cx="1312985" cy="264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000" b="0"/>
            <a:t>Avg patients wait time</a:t>
          </a:r>
        </a:p>
      </xdr:txBody>
    </xdr:sp>
    <xdr:clientData/>
  </xdr:oneCellAnchor>
  <xdr:oneCellAnchor>
    <xdr:from>
      <xdr:col>3</xdr:col>
      <xdr:colOff>345832</xdr:colOff>
      <xdr:row>3</xdr:row>
      <xdr:rowOff>164123</xdr:rowOff>
    </xdr:from>
    <xdr:ext cx="1312985" cy="264562"/>
    <xdr:sp macro="" textlink="Sheet1!A11">
      <xdr:nvSpPr>
        <xdr:cNvPr id="34" name="TextBox 33">
          <a:extLst>
            <a:ext uri="{FF2B5EF4-FFF2-40B4-BE49-F238E27FC236}">
              <a16:creationId xmlns:a16="http://schemas.microsoft.com/office/drawing/2014/main" id="{6BD1E94B-917B-7933-24F7-17624640D24F}"/>
            </a:ext>
          </a:extLst>
        </xdr:cNvPr>
        <xdr:cNvSpPr txBox="1"/>
      </xdr:nvSpPr>
      <xdr:spPr>
        <a:xfrm>
          <a:off x="2174632" y="709246"/>
          <a:ext cx="1312985" cy="264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fld id="{764F4E47-71C6-4BE7-BAFA-6DAD618E0881}" type="TxLink">
            <a:rPr lang="en-US" sz="1100" b="1" i="0" u="none" strike="noStrike">
              <a:solidFill>
                <a:srgbClr val="000000"/>
              </a:solidFill>
              <a:latin typeface="Aptos Narrow"/>
            </a:rPr>
            <a:t>35.81</a:t>
          </a:fld>
          <a:endParaRPr lang="en-IN" sz="1000" b="1"/>
        </a:p>
      </xdr:txBody>
    </xdr:sp>
    <xdr:clientData/>
  </xdr:oneCellAnchor>
  <xdr:oneCellAnchor>
    <xdr:from>
      <xdr:col>5</xdr:col>
      <xdr:colOff>527540</xdr:colOff>
      <xdr:row>5</xdr:row>
      <xdr:rowOff>5862</xdr:rowOff>
    </xdr:from>
    <xdr:ext cx="1312985" cy="264562"/>
    <xdr:sp macro="" textlink="">
      <xdr:nvSpPr>
        <xdr:cNvPr id="35" name="TextBox 34">
          <a:extLst>
            <a:ext uri="{FF2B5EF4-FFF2-40B4-BE49-F238E27FC236}">
              <a16:creationId xmlns:a16="http://schemas.microsoft.com/office/drawing/2014/main" id="{AF776BFD-61DA-8AA2-CD65-DF0EE8CEA7AD}"/>
            </a:ext>
          </a:extLst>
        </xdr:cNvPr>
        <xdr:cNvSpPr txBox="1"/>
      </xdr:nvSpPr>
      <xdr:spPr>
        <a:xfrm>
          <a:off x="3575540" y="914400"/>
          <a:ext cx="1312985" cy="264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000" b="0"/>
            <a:t>Avg Satisfaction Score</a:t>
          </a:r>
        </a:p>
      </xdr:txBody>
    </xdr:sp>
    <xdr:clientData/>
  </xdr:oneCellAnchor>
  <xdr:oneCellAnchor>
    <xdr:from>
      <xdr:col>5</xdr:col>
      <xdr:colOff>527540</xdr:colOff>
      <xdr:row>3</xdr:row>
      <xdr:rowOff>164123</xdr:rowOff>
    </xdr:from>
    <xdr:ext cx="1312985" cy="264562"/>
    <xdr:sp macro="" textlink="Sheet1!A15">
      <xdr:nvSpPr>
        <xdr:cNvPr id="36" name="TextBox 35">
          <a:extLst>
            <a:ext uri="{FF2B5EF4-FFF2-40B4-BE49-F238E27FC236}">
              <a16:creationId xmlns:a16="http://schemas.microsoft.com/office/drawing/2014/main" id="{C1E91284-728A-BCBB-FB59-C5E150E6F337}"/>
            </a:ext>
          </a:extLst>
        </xdr:cNvPr>
        <xdr:cNvSpPr txBox="1"/>
      </xdr:nvSpPr>
      <xdr:spPr>
        <a:xfrm>
          <a:off x="3575540" y="709246"/>
          <a:ext cx="1312985" cy="264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fld id="{E8438DB8-B01A-45DA-97D1-C11AAEC51390}" type="TxLink">
            <a:rPr lang="en-US" sz="1100" b="1" i="0" u="none" strike="noStrike">
              <a:solidFill>
                <a:srgbClr val="000000"/>
              </a:solidFill>
              <a:latin typeface="Aptos Narrow"/>
            </a:rPr>
            <a:t>5.15</a:t>
          </a:fld>
          <a:endParaRPr lang="en-IN" sz="1000" b="1"/>
        </a:p>
      </xdr:txBody>
    </xdr:sp>
    <xdr:clientData/>
  </xdr:oneCellAnchor>
  <xdr:twoCellAnchor editAs="oneCell">
    <xdr:from>
      <xdr:col>0</xdr:col>
      <xdr:colOff>84667</xdr:colOff>
      <xdr:row>3</xdr:row>
      <xdr:rowOff>42333</xdr:rowOff>
    </xdr:from>
    <xdr:to>
      <xdr:col>1</xdr:col>
      <xdr:colOff>120952</xdr:colOff>
      <xdr:row>19</xdr:row>
      <xdr:rowOff>145143</xdr:rowOff>
    </xdr:to>
    <mc:AlternateContent xmlns:mc="http://schemas.openxmlformats.org/markup-compatibility/2006">
      <mc:Choice xmlns:a14="http://schemas.microsoft.com/office/drawing/2010/main" Requires="a14">
        <xdr:graphicFrame macro="">
          <xdr:nvGraphicFramePr>
            <xdr:cNvPr id="37" name="Date (Month)">
              <a:extLst>
                <a:ext uri="{FF2B5EF4-FFF2-40B4-BE49-F238E27FC236}">
                  <a16:creationId xmlns:a16="http://schemas.microsoft.com/office/drawing/2014/main" id="{AF601B56-14BC-4B03-A3B3-1C84BF43F03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84667" y="588243"/>
              <a:ext cx="644748" cy="3014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159565</xdr:colOff>
      <xdr:row>6</xdr:row>
      <xdr:rowOff>49443</xdr:rowOff>
    </xdr:from>
    <xdr:to>
      <xdr:col>3</xdr:col>
      <xdr:colOff>276796</xdr:colOff>
      <xdr:row>9</xdr:row>
      <xdr:rowOff>57979</xdr:rowOff>
    </xdr:to>
    <xdr:graphicFrame macro="">
      <xdr:nvGraphicFramePr>
        <xdr:cNvPr id="38" name="Chart 37">
          <a:hlinkClick xmlns:r="http://schemas.openxmlformats.org/officeDocument/2006/relationships" r:id="rId1"/>
          <a:extLst>
            <a:ext uri="{FF2B5EF4-FFF2-40B4-BE49-F238E27FC236}">
              <a16:creationId xmlns:a16="http://schemas.microsoft.com/office/drawing/2014/main" id="{B601E383-E20D-4D20-802B-ED766D1CD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340283</xdr:colOff>
      <xdr:row>6</xdr:row>
      <xdr:rowOff>49443</xdr:rowOff>
    </xdr:from>
    <xdr:to>
      <xdr:col>5</xdr:col>
      <xdr:colOff>444985</xdr:colOff>
      <xdr:row>9</xdr:row>
      <xdr:rowOff>52351</xdr:rowOff>
    </xdr:to>
    <xdr:graphicFrame macro="">
      <xdr:nvGraphicFramePr>
        <xdr:cNvPr id="39" name="Chart 38">
          <a:hlinkClick xmlns:r="http://schemas.openxmlformats.org/officeDocument/2006/relationships" r:id="rId3"/>
          <a:extLst>
            <a:ext uri="{FF2B5EF4-FFF2-40B4-BE49-F238E27FC236}">
              <a16:creationId xmlns:a16="http://schemas.microsoft.com/office/drawing/2014/main" id="{9010F0CC-11B7-4184-AFD1-8A6288DF7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506247</xdr:colOff>
      <xdr:row>6</xdr:row>
      <xdr:rowOff>45461</xdr:rowOff>
    </xdr:from>
    <xdr:to>
      <xdr:col>8</xdr:col>
      <xdr:colOff>21648</xdr:colOff>
      <xdr:row>9</xdr:row>
      <xdr:rowOff>43295</xdr:rowOff>
    </xdr:to>
    <xdr:graphicFrame macro="">
      <xdr:nvGraphicFramePr>
        <xdr:cNvPr id="40" name="Chart 39">
          <a:hlinkClick xmlns:r="http://schemas.openxmlformats.org/officeDocument/2006/relationships" r:id="rId5"/>
          <a:extLst>
            <a:ext uri="{FF2B5EF4-FFF2-40B4-BE49-F238E27FC236}">
              <a16:creationId xmlns:a16="http://schemas.microsoft.com/office/drawing/2014/main" id="{9B066BED-D65B-4E9C-94A2-12492F002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199571</xdr:colOff>
          <xdr:row>9</xdr:row>
          <xdr:rowOff>114905</xdr:rowOff>
        </xdr:from>
        <xdr:to>
          <xdr:col>8</xdr:col>
          <xdr:colOff>30238</xdr:colOff>
          <xdr:row>12</xdr:row>
          <xdr:rowOff>30667</xdr:rowOff>
        </xdr:to>
        <xdr:pic>
          <xdr:nvPicPr>
            <xdr:cNvPr id="43" name="Picture 42">
              <a:extLst>
                <a:ext uri="{FF2B5EF4-FFF2-40B4-BE49-F238E27FC236}">
                  <a16:creationId xmlns:a16="http://schemas.microsoft.com/office/drawing/2014/main" id="{7585FCB5-005E-B5FA-A712-350677459E5E}"/>
                </a:ext>
              </a:extLst>
            </xdr:cNvPr>
            <xdr:cNvPicPr>
              <a:picLocks noChangeAspect="1" noChangeArrowheads="1"/>
              <a:extLst>
                <a:ext uri="{84589F7E-364E-4C9E-8A38-B11213B215E9}">
                  <a14:cameraTool cellRange="Sheet1!$M$4:$P$6" spid="_x0000_s2067"/>
                </a:ext>
              </a:extLst>
            </xdr:cNvPicPr>
          </xdr:nvPicPr>
          <xdr:blipFill>
            <a:blip xmlns:r="http://schemas.openxmlformats.org/officeDocument/2006/relationships" r:embed="rId7"/>
            <a:srcRect/>
            <a:stretch>
              <a:fillRect/>
            </a:stretch>
          </xdr:blipFill>
          <xdr:spPr bwMode="auto">
            <a:xfrm>
              <a:off x="810381" y="1747762"/>
              <a:ext cx="4106333" cy="46004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84668</xdr:colOff>
      <xdr:row>6</xdr:row>
      <xdr:rowOff>157238</xdr:rowOff>
    </xdr:from>
    <xdr:to>
      <xdr:col>12</xdr:col>
      <xdr:colOff>580572</xdr:colOff>
      <xdr:row>18</xdr:row>
      <xdr:rowOff>48381</xdr:rowOff>
    </xdr:to>
    <xdr:graphicFrame macro="">
      <xdr:nvGraphicFramePr>
        <xdr:cNvPr id="44" name="Chart 43">
          <a:extLst>
            <a:ext uri="{FF2B5EF4-FFF2-40B4-BE49-F238E27FC236}">
              <a16:creationId xmlns:a16="http://schemas.microsoft.com/office/drawing/2014/main" id="{680AA2E4-D0DE-4BEC-A367-FDD73CC8E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306152</xdr:colOff>
      <xdr:row>0</xdr:row>
      <xdr:rowOff>62752</xdr:rowOff>
    </xdr:from>
    <xdr:to>
      <xdr:col>12</xdr:col>
      <xdr:colOff>526143</xdr:colOff>
      <xdr:row>6</xdr:row>
      <xdr:rowOff>54428</xdr:rowOff>
    </xdr:to>
    <xdr:graphicFrame macro="">
      <xdr:nvGraphicFramePr>
        <xdr:cNvPr id="45" name="Chart 44">
          <a:extLst>
            <a:ext uri="{FF2B5EF4-FFF2-40B4-BE49-F238E27FC236}">
              <a16:creationId xmlns:a16="http://schemas.microsoft.com/office/drawing/2014/main" id="{50F39468-6ADC-42AC-9D37-1D13E98E1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5</xdr:col>
      <xdr:colOff>521492</xdr:colOff>
      <xdr:row>5</xdr:row>
      <xdr:rowOff>7257</xdr:rowOff>
    </xdr:from>
    <xdr:ext cx="1312985" cy="264562"/>
    <xdr:sp macro="" textlink="">
      <xdr:nvSpPr>
        <xdr:cNvPr id="46" name="TextBox 45">
          <a:extLst>
            <a:ext uri="{FF2B5EF4-FFF2-40B4-BE49-F238E27FC236}">
              <a16:creationId xmlns:a16="http://schemas.microsoft.com/office/drawing/2014/main" id="{B6F99F9F-95E7-4746-A169-B0ACFE77FFF1}"/>
            </a:ext>
          </a:extLst>
        </xdr:cNvPr>
        <xdr:cNvSpPr txBox="1"/>
      </xdr:nvSpPr>
      <xdr:spPr>
        <a:xfrm>
          <a:off x="3575540" y="914400"/>
          <a:ext cx="1312985" cy="264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000" b="0"/>
            <a:t>Avg Satisfaction Score</a:t>
          </a:r>
        </a:p>
      </xdr:txBody>
    </xdr:sp>
    <xdr:clientData/>
  </xdr:oneCellAnchor>
  <xdr:oneCellAnchor>
    <xdr:from>
      <xdr:col>10</xdr:col>
      <xdr:colOff>376350</xdr:colOff>
      <xdr:row>5</xdr:row>
      <xdr:rowOff>1210</xdr:rowOff>
    </xdr:from>
    <xdr:ext cx="1312985" cy="264562"/>
    <xdr:sp macro="" textlink="">
      <xdr:nvSpPr>
        <xdr:cNvPr id="47" name="TextBox 46">
          <a:extLst>
            <a:ext uri="{FF2B5EF4-FFF2-40B4-BE49-F238E27FC236}">
              <a16:creationId xmlns:a16="http://schemas.microsoft.com/office/drawing/2014/main" id="{331D552B-8A21-6CB0-13EE-F408D3804811}"/>
            </a:ext>
          </a:extLst>
        </xdr:cNvPr>
        <xdr:cNvSpPr txBox="1"/>
      </xdr:nvSpPr>
      <xdr:spPr>
        <a:xfrm>
          <a:off x="6484445" y="908353"/>
          <a:ext cx="1312985" cy="264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000" b="0"/>
            <a:t>No.</a:t>
          </a:r>
          <a:r>
            <a:rPr lang="en-IN" sz="1000" b="0" baseline="0"/>
            <a:t> of Patients by Gender</a:t>
          </a:r>
          <a:endParaRPr lang="en-IN" sz="1000" b="0"/>
        </a:p>
      </xdr:txBody>
    </xdr:sp>
    <xdr:clientData/>
  </xdr:oneCellAnchor>
  <xdr:twoCellAnchor>
    <xdr:from>
      <xdr:col>8</xdr:col>
      <xdr:colOff>71007</xdr:colOff>
      <xdr:row>0</xdr:row>
      <xdr:rowOff>67235</xdr:rowOff>
    </xdr:from>
    <xdr:to>
      <xdr:col>10</xdr:col>
      <xdr:colOff>253388</xdr:colOff>
      <xdr:row>6</xdr:row>
      <xdr:rowOff>72572</xdr:rowOff>
    </xdr:to>
    <xdr:graphicFrame macro="">
      <xdr:nvGraphicFramePr>
        <xdr:cNvPr id="48" name="Chart 47">
          <a:extLst>
            <a:ext uri="{FF2B5EF4-FFF2-40B4-BE49-F238E27FC236}">
              <a16:creationId xmlns:a16="http://schemas.microsoft.com/office/drawing/2014/main" id="{052A53A6-0B8A-4D3E-8B06-39932A955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139096</xdr:colOff>
      <xdr:row>11</xdr:row>
      <xdr:rowOff>127000</xdr:rowOff>
    </xdr:from>
    <xdr:to>
      <xdr:col>8</xdr:col>
      <xdr:colOff>0</xdr:colOff>
      <xdr:row>18</xdr:row>
      <xdr:rowOff>42333</xdr:rowOff>
    </xdr:to>
    <xdr:graphicFrame macro="">
      <xdr:nvGraphicFramePr>
        <xdr:cNvPr id="49" name="Chart 48">
          <a:extLst>
            <a:ext uri="{FF2B5EF4-FFF2-40B4-BE49-F238E27FC236}">
              <a16:creationId xmlns:a16="http://schemas.microsoft.com/office/drawing/2014/main" id="{6B0C5CC2-6D94-4AD9-861C-4B5AAD5AD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2</xdr:col>
      <xdr:colOff>507629</xdr:colOff>
      <xdr:row>18</xdr:row>
      <xdr:rowOff>37496</xdr:rowOff>
    </xdr:from>
    <xdr:ext cx="1911418" cy="264562"/>
    <xdr:sp macro="" textlink="">
      <xdr:nvSpPr>
        <xdr:cNvPr id="50" name="TextBox 49">
          <a:extLst>
            <a:ext uri="{FF2B5EF4-FFF2-40B4-BE49-F238E27FC236}">
              <a16:creationId xmlns:a16="http://schemas.microsoft.com/office/drawing/2014/main" id="{1A885FE5-9D86-4FFC-9181-DA469E00AF06}"/>
            </a:ext>
          </a:extLst>
        </xdr:cNvPr>
        <xdr:cNvSpPr txBox="1"/>
      </xdr:nvSpPr>
      <xdr:spPr>
        <a:xfrm>
          <a:off x="1729248" y="3303210"/>
          <a:ext cx="1911418" cy="264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000" b="0"/>
            <a:t>No</a:t>
          </a:r>
          <a:r>
            <a:rPr lang="en-IN" sz="1000" b="0" baseline="0"/>
            <a:t>. of Patients by Age group</a:t>
          </a:r>
        </a:p>
      </xdr:txBody>
    </xdr:sp>
    <xdr:clientData/>
  </xdr:oneCellAnchor>
  <xdr:oneCellAnchor>
    <xdr:from>
      <xdr:col>8</xdr:col>
      <xdr:colOff>99370</xdr:colOff>
      <xdr:row>5</xdr:row>
      <xdr:rowOff>2419</xdr:rowOff>
    </xdr:from>
    <xdr:ext cx="1312985" cy="264562"/>
    <xdr:sp macro="" textlink="">
      <xdr:nvSpPr>
        <xdr:cNvPr id="51" name="TextBox 50">
          <a:extLst>
            <a:ext uri="{FF2B5EF4-FFF2-40B4-BE49-F238E27FC236}">
              <a16:creationId xmlns:a16="http://schemas.microsoft.com/office/drawing/2014/main" id="{5F71E910-B00D-4F0B-9FF4-0BB2C1D62C11}"/>
            </a:ext>
          </a:extLst>
        </xdr:cNvPr>
        <xdr:cNvSpPr txBox="1"/>
      </xdr:nvSpPr>
      <xdr:spPr>
        <a:xfrm>
          <a:off x="4985846" y="909562"/>
          <a:ext cx="1312985" cy="264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000" b="0"/>
            <a:t>No.</a:t>
          </a:r>
          <a:r>
            <a:rPr lang="en-IN" sz="1000" b="0" baseline="0"/>
            <a:t> of Patients by Status</a:t>
          </a:r>
        </a:p>
      </xdr:txBody>
    </xdr:sp>
    <xdr:clientData/>
  </xdr:oneCellAnchor>
  <xdr:oneCellAnchor>
    <xdr:from>
      <xdr:col>9</xdr:col>
      <xdr:colOff>12933</xdr:colOff>
      <xdr:row>18</xdr:row>
      <xdr:rowOff>38706</xdr:rowOff>
    </xdr:from>
    <xdr:ext cx="1911418" cy="264562"/>
    <xdr:sp macro="" textlink="">
      <xdr:nvSpPr>
        <xdr:cNvPr id="52" name="TextBox 51">
          <a:extLst>
            <a:ext uri="{FF2B5EF4-FFF2-40B4-BE49-F238E27FC236}">
              <a16:creationId xmlns:a16="http://schemas.microsoft.com/office/drawing/2014/main" id="{ED861D86-5898-46CA-9143-8126BA2F08C5}"/>
            </a:ext>
          </a:extLst>
        </xdr:cNvPr>
        <xdr:cNvSpPr txBox="1"/>
      </xdr:nvSpPr>
      <xdr:spPr>
        <a:xfrm>
          <a:off x="5510219" y="3304420"/>
          <a:ext cx="1911418" cy="264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1000" b="0"/>
            <a:t>Department Referal</a:t>
          </a:r>
          <a:endParaRPr lang="en-IN" sz="1000" b="0" baseline="0"/>
        </a:p>
      </xdr:txBody>
    </xdr:sp>
    <xdr:clientData/>
  </xdr:oneCellAnchor>
  <xdr:twoCellAnchor editAs="oneCell">
    <xdr:from>
      <xdr:col>5</xdr:col>
      <xdr:colOff>599069</xdr:colOff>
      <xdr:row>0</xdr:row>
      <xdr:rowOff>58271</xdr:rowOff>
    </xdr:from>
    <xdr:to>
      <xdr:col>8</xdr:col>
      <xdr:colOff>24191</xdr:colOff>
      <xdr:row>2</xdr:row>
      <xdr:rowOff>118040</xdr:rowOff>
    </xdr:to>
    <mc:AlternateContent xmlns:mc="http://schemas.openxmlformats.org/markup-compatibility/2006">
      <mc:Choice xmlns:a14="http://schemas.microsoft.com/office/drawing/2010/main" Requires="a14">
        <xdr:graphicFrame macro="">
          <xdr:nvGraphicFramePr>
            <xdr:cNvPr id="53" name="Date (Year)">
              <a:extLst>
                <a:ext uri="{FF2B5EF4-FFF2-40B4-BE49-F238E27FC236}">
                  <a16:creationId xmlns:a16="http://schemas.microsoft.com/office/drawing/2014/main" id="{CB21E422-1680-40A2-A3B9-2394C6258C9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641382" y="58271"/>
              <a:ext cx="1250510" cy="423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60686</xdr:colOff>
      <xdr:row>0</xdr:row>
      <xdr:rowOff>90987</xdr:rowOff>
    </xdr:from>
    <xdr:to>
      <xdr:col>1</xdr:col>
      <xdr:colOff>113730</xdr:colOff>
      <xdr:row>2</xdr:row>
      <xdr:rowOff>96449</xdr:rowOff>
    </xdr:to>
    <xdr:pic>
      <xdr:nvPicPr>
        <xdr:cNvPr id="55" name="Picture 54">
          <a:extLst>
            <a:ext uri="{FF2B5EF4-FFF2-40B4-BE49-F238E27FC236}">
              <a16:creationId xmlns:a16="http://schemas.microsoft.com/office/drawing/2014/main" id="{13863EF3-693F-BE9B-AEEF-5B9287A23BF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60686" y="90987"/>
          <a:ext cx="661507" cy="3694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3</xdr:row>
      <xdr:rowOff>68580</xdr:rowOff>
    </xdr:from>
    <xdr:to>
      <xdr:col>14</xdr:col>
      <xdr:colOff>434340</xdr:colOff>
      <xdr:row>18</xdr:row>
      <xdr:rowOff>167640</xdr:rowOff>
    </xdr:to>
    <xdr:graphicFrame macro="">
      <xdr:nvGraphicFramePr>
        <xdr:cNvPr id="2" name="Chart 1">
          <a:extLst>
            <a:ext uri="{FF2B5EF4-FFF2-40B4-BE49-F238E27FC236}">
              <a16:creationId xmlns:a16="http://schemas.microsoft.com/office/drawing/2014/main" id="{50FA45DE-016D-444A-AB7B-B319DBE12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106680</xdr:colOff>
      <xdr:row>19</xdr:row>
      <xdr:rowOff>45720</xdr:rowOff>
    </xdr:to>
    <xdr:graphicFrame macro="">
      <xdr:nvGraphicFramePr>
        <xdr:cNvPr id="2" name="Chart 1">
          <a:extLst>
            <a:ext uri="{FF2B5EF4-FFF2-40B4-BE49-F238E27FC236}">
              <a16:creationId xmlns:a16="http://schemas.microsoft.com/office/drawing/2014/main" id="{0DB4887C-330B-4ABD-A77B-6EE55338A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7620</xdr:colOff>
      <xdr:row>21</xdr:row>
      <xdr:rowOff>76200</xdr:rowOff>
    </xdr:to>
    <xdr:graphicFrame macro="">
      <xdr:nvGraphicFramePr>
        <xdr:cNvPr id="2" name="Chart 1">
          <a:extLst>
            <a:ext uri="{FF2B5EF4-FFF2-40B4-BE49-F238E27FC236}">
              <a16:creationId xmlns:a16="http://schemas.microsoft.com/office/drawing/2014/main" id="{9B636831-CB4B-49BF-A23B-B2AD44D42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NOBODY" refreshedDate="46001.582133333337" createdVersion="5" refreshedVersion="8" minRefreshableVersion="3" recordCount="0" supportSubquery="1" supportAdvancedDrill="1" xr:uid="{5FA61309-056B-4B66-AE43-663A67CF0D6E}">
  <cacheSource type="external" connectionId="4"/>
  <cacheFields count="4">
    <cacheField name="[Calendar 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Measures].[Distinct Count of Patient Id]" caption="Distinct Count of Patient Id" numFmtId="0" hierarchy="30"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hrs]" caption="Patient Admission hrs" attribute="1" time="1" defaultMemberUniqueName="[Hospital Emergency Room Data].[Patient Admission hrs].[All]" allUniqueName="[Hospital Emergency Room Data].[Patient Admission hrs].[All]" dimensionUniqueName="[Hospital Emergency Room Data]" displayFolder="" count="0" memberValueDatatype="7" unbalanced="0"/>
    <cacheHierarchy uniqueName="[Hospital Emergency Room Data].[Full_Name]" caption="Full_Name" attribute="1" defaultMemberUniqueName="[Hospital Emergency Room Data].[Full_Name].[All]" allUniqueName="[Hospital Emergency Room Data].[Full_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NOBODY" refreshedDate="46001.582135648147" createdVersion="5" refreshedVersion="8" minRefreshableVersion="3" recordCount="0" supportSubquery="1" supportAdvancedDrill="1" xr:uid="{023D382B-3E11-4EBD-A3DA-CAC8591C54D5}">
  <cacheSource type="external" connectionId="4"/>
  <cacheFields count="3">
    <cacheField name="[Measures].[Distinct Count of Patient Id]" caption="Distinct Count of Patient Id" numFmtId="0" hierarchy="30"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hrs]" caption="Patient Admission hrs" attribute="1" time="1" defaultMemberUniqueName="[Hospital Emergency Room Data].[Patient Admission hrs].[All]" allUniqueName="[Hospital Emergency Room Data].[Patient Admission hrs].[All]" dimensionUniqueName="[Hospital Emergency Room Data]" displayFolder="" count="0" memberValueDatatype="7" unbalanced="0"/>
    <cacheHierarchy uniqueName="[Hospital Emergency Room Data].[Full_Name]" caption="Full_Name" attribute="1" defaultMemberUniqueName="[Hospital Emergency Room Data].[Full_Name].[All]" allUniqueName="[Hospital Emergency Room Data].[Full_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NOBODY" refreshedDate="46001.582137962963" createdVersion="5" refreshedVersion="8" minRefreshableVersion="3" recordCount="0" supportSubquery="1" supportAdvancedDrill="1" xr:uid="{17EC18B5-16DB-4F2D-B990-2BD413773E90}">
  <cacheSource type="external" connectionId="4"/>
  <cacheFields count="3">
    <cacheField name="[Measures].[Average of Patient Waittime]" caption="Average of Patient Waittime" numFmtId="0" hierarchy="32"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hrs]" caption="Patient Admission hrs" attribute="1" time="1" defaultMemberUniqueName="[Hospital Emergency Room Data].[Patient Admission hrs].[All]" allUniqueName="[Hospital Emergency Room Data].[Patient Admission hrs].[All]" dimensionUniqueName="[Hospital Emergency Room Data]" displayFolder="" count="0" memberValueDatatype="7" unbalanced="0"/>
    <cacheHierarchy uniqueName="[Hospital Emergency Room Data].[Full_Name]" caption="Full_Name" attribute="1" defaultMemberUniqueName="[Hospital Emergency Room Data].[Full_Name].[All]" allUniqueName="[Hospital Emergency Room Data].[Full_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NOBODY" refreshedDate="46001.58214027778" createdVersion="5" refreshedVersion="8" minRefreshableVersion="3" recordCount="0" supportSubquery="1" supportAdvancedDrill="1" xr:uid="{5ADF7693-BAF7-4CAE-8DB4-48C38FA77A70}">
  <cacheSource type="external" connectionId="4"/>
  <cacheFields count="3">
    <cacheField name="[Measures].[Average of Patient Satisfaction Score]" caption="Average of Patient Satisfaction Score" numFmtId="0" hierarchy="34"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hrs]" caption="Patient Admission hrs" attribute="1" time="1" defaultMemberUniqueName="[Hospital Emergency Room Data].[Patient Admission hrs].[All]" allUniqueName="[Hospital Emergency Room Data].[Patient Admission hrs].[All]" dimensionUniqueName="[Hospital Emergency Room Data]" displayFolder="" count="0" memberValueDatatype="7" unbalanced="0"/>
    <cacheHierarchy uniqueName="[Hospital Emergency Room Data].[Full_Name]" caption="Full_Name" attribute="1" defaultMemberUniqueName="[Hospital Emergency Room Data].[Full_Name].[All]" allUniqueName="[Hospital Emergency Room Data].[Full_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NOBODY" refreshedDate="46001.582143171298" createdVersion="5" refreshedVersion="8" minRefreshableVersion="3" recordCount="0" supportSubquery="1" supportAdvancedDrill="1" xr:uid="{E704CB17-2105-4BB4-A326-CE7725D5B0C4}">
  <cacheSource type="external" connectionId="4"/>
  <cacheFields count="4">
    <cacheField name="[Calendar Table].[Date (Day)].[Date (Day)]" caption="Date (Day)" numFmtId="0" hierarchy="2" level="1">
      <sharedItems count="32">
        <s v="1-May"/>
        <s v="2-May"/>
        <s v="3-May"/>
        <s v="4-May"/>
        <s v="5-May"/>
        <s v="6-May"/>
        <s v="7-May"/>
        <s v="8-May"/>
        <s v="9-May"/>
        <s v="10-May"/>
        <s v="11-May"/>
        <s v="12-May"/>
        <s v="13-May"/>
        <s v="14-May"/>
        <s v="15-May"/>
        <s v="16-May"/>
        <s v="17-May"/>
        <s v="18-May"/>
        <s v="19-May"/>
        <s v="20-May"/>
        <s v="21-May"/>
        <s v="22-May"/>
        <s v="23-May"/>
        <s v="24-May"/>
        <s v="25-May"/>
        <s v="26-May"/>
        <s v="27-May"/>
        <s v="28-May"/>
        <s v="29-May"/>
        <s v="30-May"/>
        <s v="31-May"/>
        <s v="1-Apr" u="1"/>
      </sharedItems>
    </cacheField>
    <cacheField name="[Calendar Table].[Date (Month)].[Date (Month)]" caption="Date (Month)" numFmtId="0" hierarchy="1" level="1">
      <sharedItems containsSemiMixedTypes="0" containsNonDate="0" containsString="0"/>
    </cacheField>
    <cacheField name="[Measures].[Average of Patient Waittime]" caption="Average of Patient Waittime" numFmtId="0" hierarchy="32" level="32767"/>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hrs]" caption="Patient Admission hrs" attribute="1" time="1" defaultMemberUniqueName="[Hospital Emergency Room Data].[Patient Admission hrs].[All]" allUniqueName="[Hospital Emergency Room Data].[Patient Admission hrs].[All]" dimensionUniqueName="[Hospital Emergency Room Data]" displayFolder="" count="0" memberValueDatatype="7" unbalanced="0"/>
    <cacheHierarchy uniqueName="[Hospital Emergency Room Data].[Full_Name]" caption="Full_Name" attribute="1" defaultMemberUniqueName="[Hospital Emergency Room Data].[Full_Name].[All]" allUniqueName="[Hospital Emergency Room Data].[Full_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NOBODY" refreshedDate="46001.58214583333" createdVersion="5" refreshedVersion="8" minRefreshableVersion="3" recordCount="0" supportSubquery="1" supportAdvancedDrill="1" xr:uid="{8155DD4B-FEEA-44B8-9DAB-B0E031DB4F7E}">
  <cacheSource type="external" connectionId="4"/>
  <cacheFields count="4">
    <cacheField name="[Calendar Table].[Date (Day)].[Date (Day)]" caption="Date (Day)" numFmtId="0" hierarchy="2" level="1">
      <sharedItems count="32">
        <s v="1-May"/>
        <s v="2-May"/>
        <s v="3-May"/>
        <s v="4-May"/>
        <s v="5-May"/>
        <s v="6-May"/>
        <s v="7-May"/>
        <s v="8-May"/>
        <s v="9-May"/>
        <s v="10-May"/>
        <s v="11-May"/>
        <s v="12-May"/>
        <s v="13-May"/>
        <s v="14-May"/>
        <s v="15-May"/>
        <s v="16-May"/>
        <s v="17-May"/>
        <s v="18-May"/>
        <s v="19-May"/>
        <s v="20-May"/>
        <s v="21-May"/>
        <s v="22-May"/>
        <s v="23-May"/>
        <s v="24-May"/>
        <s v="25-May"/>
        <s v="26-May"/>
        <s v="27-May"/>
        <s v="28-May"/>
        <s v="29-May"/>
        <s v="30-May"/>
        <s v="31-May"/>
        <s v="1-Apr" u="1"/>
      </sharedItems>
    </cacheField>
    <cacheField name="[Calendar Table].[Date (Month)].[Date (Month)]" caption="Date (Month)" numFmtId="0" hierarchy="1" level="1">
      <sharedItems containsSemiMixedTypes="0" containsNonDate="0" containsString="0"/>
    </cacheField>
    <cacheField name="[Measures].[Average of Patient Satisfaction Score]" caption="Average of Patient Satisfaction Score" numFmtId="0" hierarchy="34" level="32767"/>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hrs]" caption="Patient Admission hrs" attribute="1" time="1" defaultMemberUniqueName="[Hospital Emergency Room Data].[Patient Admission hrs].[All]" allUniqueName="[Hospital Emergency Room Data].[Patient Admission hrs].[All]" dimensionUniqueName="[Hospital Emergency Room Data]" displayFolder="" count="0" memberValueDatatype="7" unbalanced="0"/>
    <cacheHierarchy uniqueName="[Hospital Emergency Room Data].[Full_Name]" caption="Full_Name" attribute="1" defaultMemberUniqueName="[Hospital Emergency Room Data].[Full_Name].[All]" allUniqueName="[Hospital Emergency Room Data].[Full_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NOBODY" refreshedDate="46001.582148726855" createdVersion="5" refreshedVersion="8" minRefreshableVersion="3" recordCount="0" supportSubquery="1" supportAdvancedDrill="1" xr:uid="{04D9B983-342E-41ED-B405-2AAFF1E764B2}">
  <cacheSource type="external" connectionId="4"/>
  <cacheFields count="5">
    <cacheField name="[Calendar 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6" level="32767"/>
    <cacheField name="[Calendar Table].[Date (Year)].[Date (Year)]" caption="Date (Year)" numFmtId="0" hierarchy="3"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hrs]" caption="Patient Admission hrs" attribute="1" time="1" defaultMemberUniqueName="[Hospital Emergency Room Data].[Patient Admission hrs].[All]" allUniqueName="[Hospital Emergency Room Data].[Patient Admission hrs].[All]" dimensionUniqueName="[Hospital Emergency Room Data]" displayFolder="" count="0" memberValueDatatype="7" unbalanced="0"/>
    <cacheHierarchy uniqueName="[Hospital Emergency Room Data].[Full_Name]" caption="Full_Name" attribute="1" defaultMemberUniqueName="[Hospital Emergency Room Data].[Full_Name].[All]" allUniqueName="[Hospital Emergency Room Data].[Full_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NOBODY" refreshedDate="46001.58215185185" createdVersion="5" refreshedVersion="8" minRefreshableVersion="3" recordCount="0" supportSubquery="1" supportAdvancedDrill="1" xr:uid="{FD2644AC-C809-4D93-A24F-31BA3E9DEF81}">
  <cacheSource type="external" connectionId="4"/>
  <cacheFields count="4">
    <cacheField name="[Calendar Table].[Date (Month)].[Date (Month)]" caption="Date (Month)" numFmtId="0" hierarchy="1" level="1">
      <sharedItems containsSemiMixedTypes="0" containsNonDate="0" containsString="0"/>
    </cacheField>
    <cacheField name="[Measures].[Distinct Count of Patient Id]" caption="Distinct Count of Patient Id" numFmtId="0" hierarchy="30" level="32767"/>
    <cacheField name="[Hospital Emergency Room Data].[Patient Age].[Patient Age]" caption="Patient Age" numFmtId="0" hierarchy="10" level="1">
      <sharedItems containsSemiMixedTypes="0" containsString="0" containsNumber="1" containsInteger="1" minValue="1" maxValue="79" count="7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sharedItems>
      <extLst>
        <ext xmlns:x15="http://schemas.microsoft.com/office/spreadsheetml/2010/11/main" uri="{4F2E5C28-24EA-4eb8-9CBF-B6C8F9C3D259}">
          <x15:cachedUniqueNames>
            <x15:cachedUniqueName index="0" name="[Hospital Emergency Room Data].[Patient Age].&amp;[1]"/>
            <x15:cachedUniqueName index="1" name="[Hospital Emergency Room Data].[Patient Age].&amp;[2]"/>
            <x15:cachedUniqueName index="2" name="[Hospital Emergency Room Data].[Patient Age].&amp;[3]"/>
            <x15:cachedUniqueName index="3" name="[Hospital Emergency Room Data].[Patient Age].&amp;[4]"/>
            <x15:cachedUniqueName index="4" name="[Hospital Emergency Room Data].[Patient Age].&amp;[5]"/>
            <x15:cachedUniqueName index="5" name="[Hospital Emergency Room Data].[Patient Age].&amp;[6]"/>
            <x15:cachedUniqueName index="6" name="[Hospital Emergency Room Data].[Patient Age].&amp;[7]"/>
            <x15:cachedUniqueName index="7" name="[Hospital Emergency Room Data].[Patient Age].&amp;[8]"/>
            <x15:cachedUniqueName index="8" name="[Hospital Emergency Room Data].[Patient Age].&amp;[9]"/>
            <x15:cachedUniqueName index="9" name="[Hospital Emergency Room Data].[Patient Age].&amp;[10]"/>
            <x15:cachedUniqueName index="10" name="[Hospital Emergency Room Data].[Patient Age].&amp;[11]"/>
            <x15:cachedUniqueName index="11" name="[Hospital Emergency Room Data].[Patient Age].&amp;[12]"/>
            <x15:cachedUniqueName index="12" name="[Hospital Emergency Room Data].[Patient Age].&amp;[13]"/>
            <x15:cachedUniqueName index="13" name="[Hospital Emergency Room Data].[Patient Age].&amp;[14]"/>
            <x15:cachedUniqueName index="14" name="[Hospital Emergency Room Data].[Patient Age].&amp;[15]"/>
            <x15:cachedUniqueName index="15" name="[Hospital Emergency Room Data].[Patient Age].&amp;[16]"/>
            <x15:cachedUniqueName index="16" name="[Hospital Emergency Room Data].[Patient Age].&amp;[17]"/>
            <x15:cachedUniqueName index="17" name="[Hospital Emergency Room Data].[Patient Age].&amp;[18]"/>
            <x15:cachedUniqueName index="18" name="[Hospital Emergency Room Data].[Patient Age].&amp;[19]"/>
            <x15:cachedUniqueName index="19" name="[Hospital Emergency Room Data].[Patient Age].&amp;[20]"/>
            <x15:cachedUniqueName index="20" name="[Hospital Emergency Room Data].[Patient Age].&amp;[21]"/>
            <x15:cachedUniqueName index="21" name="[Hospital Emergency Room Data].[Patient Age].&amp;[22]"/>
            <x15:cachedUniqueName index="22" name="[Hospital Emergency Room Data].[Patient Age].&amp;[23]"/>
            <x15:cachedUniqueName index="23" name="[Hospital Emergency Room Data].[Patient Age].&amp;[24]"/>
            <x15:cachedUniqueName index="24" name="[Hospital Emergency Room Data].[Patient Age].&amp;[25]"/>
            <x15:cachedUniqueName index="25" name="[Hospital Emergency Room Data].[Patient Age].&amp;[26]"/>
            <x15:cachedUniqueName index="26" name="[Hospital Emergency Room Data].[Patient Age].&amp;[27]"/>
            <x15:cachedUniqueName index="27" name="[Hospital Emergency Room Data].[Patient Age].&amp;[28]"/>
            <x15:cachedUniqueName index="28" name="[Hospital Emergency Room Data].[Patient Age].&amp;[29]"/>
            <x15:cachedUniqueName index="29" name="[Hospital Emergency Room Data].[Patient Age].&amp;[30]"/>
            <x15:cachedUniqueName index="30" name="[Hospital Emergency Room Data].[Patient Age].&amp;[31]"/>
            <x15:cachedUniqueName index="31" name="[Hospital Emergency Room Data].[Patient Age].&amp;[32]"/>
            <x15:cachedUniqueName index="32" name="[Hospital Emergency Room Data].[Patient Age].&amp;[33]"/>
            <x15:cachedUniqueName index="33" name="[Hospital Emergency Room Data].[Patient Age].&amp;[34]"/>
            <x15:cachedUniqueName index="34" name="[Hospital Emergency Room Data].[Patient Age].&amp;[35]"/>
            <x15:cachedUniqueName index="35" name="[Hospital Emergency Room Data].[Patient Age].&amp;[36]"/>
            <x15:cachedUniqueName index="36" name="[Hospital Emergency Room Data].[Patient Age].&amp;[37]"/>
            <x15:cachedUniqueName index="37" name="[Hospital Emergency Room Data].[Patient Age].&amp;[38]"/>
            <x15:cachedUniqueName index="38" name="[Hospital Emergency Room Data].[Patient Age].&amp;[39]"/>
            <x15:cachedUniqueName index="39" name="[Hospital Emergency Room Data].[Patient Age].&amp;[40]"/>
            <x15:cachedUniqueName index="40" name="[Hospital Emergency Room Data].[Patient Age].&amp;[41]"/>
            <x15:cachedUniqueName index="41" name="[Hospital Emergency Room Data].[Patient Age].&amp;[42]"/>
            <x15:cachedUniqueName index="42" name="[Hospital Emergency Room Data].[Patient Age].&amp;[43]"/>
            <x15:cachedUniqueName index="43" name="[Hospital Emergency Room Data].[Patient Age].&amp;[44]"/>
            <x15:cachedUniqueName index="44" name="[Hospital Emergency Room Data].[Patient Age].&amp;[45]"/>
            <x15:cachedUniqueName index="45" name="[Hospital Emergency Room Data].[Patient Age].&amp;[46]"/>
            <x15:cachedUniqueName index="46" name="[Hospital Emergency Room Data].[Patient Age].&amp;[47]"/>
            <x15:cachedUniqueName index="47" name="[Hospital Emergency Room Data].[Patient Age].&amp;[48]"/>
            <x15:cachedUniqueName index="48" name="[Hospital Emergency Room Data].[Patient Age].&amp;[49]"/>
            <x15:cachedUniqueName index="49" name="[Hospital Emergency Room Data].[Patient Age].&amp;[50]"/>
            <x15:cachedUniqueName index="50" name="[Hospital Emergency Room Data].[Patient Age].&amp;[51]"/>
            <x15:cachedUniqueName index="51" name="[Hospital Emergency Room Data].[Patient Age].&amp;[52]"/>
            <x15:cachedUniqueName index="52" name="[Hospital Emergency Room Data].[Patient Age].&amp;[53]"/>
            <x15:cachedUniqueName index="53" name="[Hospital Emergency Room Data].[Patient Age].&amp;[54]"/>
            <x15:cachedUniqueName index="54" name="[Hospital Emergency Room Data].[Patient Age].&amp;[55]"/>
            <x15:cachedUniqueName index="55" name="[Hospital Emergency Room Data].[Patient Age].&amp;[56]"/>
            <x15:cachedUniqueName index="56" name="[Hospital Emergency Room Data].[Patient Age].&amp;[57]"/>
            <x15:cachedUniqueName index="57" name="[Hospital Emergency Room Data].[Patient Age].&amp;[58]"/>
            <x15:cachedUniqueName index="58" name="[Hospital Emergency Room Data].[Patient Age].&amp;[59]"/>
            <x15:cachedUniqueName index="59" name="[Hospital Emergency Room Data].[Patient Age].&amp;[60]"/>
            <x15:cachedUniqueName index="60" name="[Hospital Emergency Room Data].[Patient Age].&amp;[61]"/>
            <x15:cachedUniqueName index="61" name="[Hospital Emergency Room Data].[Patient Age].&amp;[62]"/>
            <x15:cachedUniqueName index="62" name="[Hospital Emergency Room Data].[Patient Age].&amp;[63]"/>
            <x15:cachedUniqueName index="63" name="[Hospital Emergency Room Data].[Patient Age].&amp;[64]"/>
            <x15:cachedUniqueName index="64" name="[Hospital Emergency Room Data].[Patient Age].&amp;[65]"/>
            <x15:cachedUniqueName index="65" name="[Hospital Emergency Room Data].[Patient Age].&amp;[66]"/>
            <x15:cachedUniqueName index="66" name="[Hospital Emergency Room Data].[Patient Age].&amp;[67]"/>
            <x15:cachedUniqueName index="67" name="[Hospital Emergency Room Data].[Patient Age].&amp;[68]"/>
            <x15:cachedUniqueName index="68" name="[Hospital Emergency Room Data].[Patient Age].&amp;[69]"/>
            <x15:cachedUniqueName index="69" name="[Hospital Emergency Room Data].[Patient Age].&amp;[70]"/>
            <x15:cachedUniqueName index="70" name="[Hospital Emergency Room Data].[Patient Age].&amp;[71]"/>
            <x15:cachedUniqueName index="71" name="[Hospital Emergency Room Data].[Patient Age].&amp;[72]"/>
            <x15:cachedUniqueName index="72" name="[Hospital Emergency Room Data].[Patient Age].&amp;[73]"/>
            <x15:cachedUniqueName index="73" name="[Hospital Emergency Room Data].[Patient Age].&amp;[74]"/>
            <x15:cachedUniqueName index="74" name="[Hospital Emergency Room Data].[Patient Age].&amp;[75]"/>
            <x15:cachedUniqueName index="75" name="[Hospital Emergency Room Data].[Patient Age].&amp;[76]"/>
            <x15:cachedUniqueName index="76" name="[Hospital Emergency Room Data].[Patient Age].&amp;[77]"/>
            <x15:cachedUniqueName index="77" name="[Hospital Emergency Room Data].[Patient Age].&amp;[78]"/>
            <x15:cachedUniqueName index="78" name="[Hospital Emergency Room Data].[Patient Age].&amp;[79]"/>
          </x15:cachedUniqueNames>
        </ext>
      </extLst>
    </cacheField>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hrs]" caption="Patient Admission hrs" attribute="1" time="1" defaultMemberUniqueName="[Hospital Emergency Room Data].[Patient Admission hrs].[All]" allUniqueName="[Hospital Emergency Room Data].[Patient Admission hrs].[All]" dimensionUniqueName="[Hospital Emergency Room Data]" displayFolder="" count="0" memberValueDatatype="7" unbalanced="0"/>
    <cacheHierarchy uniqueName="[Hospital Emergency Room Data].[Full_Name]" caption="Full_Name" attribute="1" defaultMemberUniqueName="[Hospital Emergency Room Data].[Full_Name].[All]" allUniqueName="[Hospital Emergency Room Data].[Full_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fieldsUsage count="2">
        <fieldUsage x="-1"/>
        <fieldUsage x="2"/>
      </fieldsUsage>
    </cacheHierarchy>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NOBODY" refreshedDate="46001.582154861113" createdVersion="5" refreshedVersion="8" minRefreshableVersion="3" recordCount="0" supportSubquery="1" supportAdvancedDrill="1" xr:uid="{0536D8CB-4F54-407A-BB6A-DA6537277F9A}">
  <cacheSource type="external" connectionId="4"/>
  <cacheFields count="4">
    <cacheField name="[Calenda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Patient Id]" caption="Count of Patient Id" numFmtId="0" hierarchy="27" level="32767"/>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hrs]" caption="Patient Admission hrs" attribute="1" time="1" defaultMemberUniqueName="[Hospital Emergency Room Data].[Patient Admission hrs].[All]" allUniqueName="[Hospital Emergency Room Data].[Patient Admission hrs].[All]" dimensionUniqueName="[Hospital Emergency Room Data]" displayFolder="" count="0" memberValueDatatype="7" unbalanced="0"/>
    <cacheHierarchy uniqueName="[Hospital Emergency Room Data].[Full_Name]" caption="Full_Name" attribute="1" defaultMemberUniqueName="[Hospital Emergency Room Data].[Full_Name].[All]" allUniqueName="[Hospital Emergency Room Data].[Full_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NOBODY" refreshedDate="46001.582157407407" createdVersion="5" refreshedVersion="8" minRefreshableVersion="3" recordCount="0" supportSubquery="1" supportAdvancedDrill="1" xr:uid="{EF5C1638-DAD3-43AB-AAC5-F192FCCFC925}">
  <cacheSource type="external" connectionId="4"/>
  <cacheFields count="4">
    <cacheField name="[Calendar Table].[Date (Month)].[Date (Month)]" caption="Date (Month)" numFmtId="0" hierarchy="1" level="1">
      <sharedItems containsSemiMixedTypes="0" containsNonDate="0" containsString="0"/>
    </cacheField>
    <cacheField name="[Measures].[Count of Patient Id]" caption="Count of Patient Id" numFmtId="0" hierarchy="27" level="32767"/>
    <cacheField name="[Hospital Emergency Room Data].[Patient Gender].[Patient Gender]" caption="Patient Gender" numFmtId="0" hierarchy="9" level="1">
      <sharedItems count="2">
        <s v="F"/>
        <s v="M"/>
      </sharedItems>
    </cacheField>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hrs]" caption="Patient Admission hrs" attribute="1" time="1" defaultMemberUniqueName="[Hospital Emergency Room Data].[Patient Admission hrs].[All]" allUniqueName="[Hospital Emergency Room Data].[Patient Admission hrs].[All]" dimensionUniqueName="[Hospital Emergency Room Data]" displayFolder="" count="0" memberValueDatatype="7" unbalanced="0"/>
    <cacheHierarchy uniqueName="[Hospital Emergency Room Data].[Full_Name]" caption="Full_Name" attribute="1" defaultMemberUniqueName="[Hospital Emergency Room Data].[Full_Name].[All]" allUniqueName="[Hospital Emergency Room Data].[Full_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NOBODY" refreshedDate="46001.582160763886" createdVersion="5" refreshedVersion="8" minRefreshableVersion="3" recordCount="0" supportSubquery="1" supportAdvancedDrill="1" xr:uid="{468AB25D-39AE-4FA0-BBB0-7C32541F0163}">
  <cacheSource type="external" connectionId="4"/>
  <cacheFields count="4">
    <cacheField name="[Calendar Table].[Date (Month)].[Date (Month)]" caption="Date (Month)" numFmtId="0" hierarchy="1" level="1">
      <sharedItems containsSemiMixedTypes="0" containsNonDate="0" containsString="0"/>
    </cacheField>
    <cacheField name="[Measures].[Count of Patient Id]" caption="Count of Patient Id" numFmtId="0" hierarchy="27" level="32767"/>
    <cacheField name="[Hospital Emergency Room Data].[Patient Attend Status].[Patient Attend Status]" caption="Patient Attend Status" numFmtId="0" hierarchy="16" level="1">
      <sharedItems count="2">
        <s v="Delay"/>
        <s v="On time"/>
      </sharedItems>
    </cacheField>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hrs]" caption="Patient Admission hrs" attribute="1" time="1" defaultMemberUniqueName="[Hospital Emergency Room Data].[Patient Admission hrs].[All]" allUniqueName="[Hospital Emergency Room Data].[Patient Admission hrs].[All]" dimensionUniqueName="[Hospital Emergency Room Data]" displayFolder="" count="0" memberValueDatatype="7" unbalanced="0"/>
    <cacheHierarchy uniqueName="[Hospital Emergency Room Data].[Full_Name]" caption="Full_Name" attribute="1" defaultMemberUniqueName="[Hospital Emergency Room Data].[Full_Name].[All]" allUniqueName="[Hospital Emergency Room Data].[Full_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NOBODY" refreshedDate="46001.58216377315" createdVersion="5" refreshedVersion="8" minRefreshableVersion="3" recordCount="0" supportSubquery="1" supportAdvancedDrill="1" xr:uid="{DD8A406E-DD6A-4405-B14C-1E1AF0D6A8E8}">
  <cacheSource type="external" connectionId="4"/>
  <cacheFields count="4">
    <cacheField name="[Calendar Table].[Date (Month)].[Date (Month)]" caption="Date (Month)" numFmtId="0" hierarchy="1" level="1">
      <sharedItems containsSemiMixedTypes="0" containsNonDate="0" containsString="0"/>
    </cacheField>
    <cacheField name="[Measures].[Count of Patient Id]" caption="Count of Patient Id" numFmtId="0" hierarchy="27" level="32767"/>
    <cacheField name="[Hospital Emergency Room Data].[Age Group].[Age Group]" caption="Age Group" numFmtId="0" hierarchy="20" level="1">
      <sharedItems count="8">
        <s v="0-9"/>
        <s v="10-19"/>
        <s v="20-29"/>
        <s v="30-39"/>
        <s v="40-49"/>
        <s v="50-59"/>
        <s v="60-69"/>
        <s v="70-79"/>
      </sharedItems>
    </cacheField>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hrs]" caption="Patient Admission hrs" attribute="1" time="1" defaultMemberUniqueName="[Hospital Emergency Room Data].[Patient Admission hrs].[All]" allUniqueName="[Hospital Emergency Room Data].[Patient Admission hrs].[All]" dimensionUniqueName="[Hospital Emergency Room Data]" displayFolder="" count="0" memberValueDatatype="7" unbalanced="0"/>
    <cacheHierarchy uniqueName="[Hospital Emergency Room Data].[Full_Name]" caption="Full_Name" attribute="1" defaultMemberUniqueName="[Hospital Emergency Room Data].[Full_Name].[All]" allUniqueName="[Hospital Emergency Room Data].[Full_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NOBODY" refreshedDate="46001.582166782406" createdVersion="5" refreshedVersion="8" minRefreshableVersion="3" recordCount="0" supportSubquery="1" supportAdvancedDrill="1" xr:uid="{EB3F09E7-CE81-4968-8915-0563F8A098B6}">
  <cacheSource type="external" connectionId="4"/>
  <cacheFields count="2">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unt="1">
        <s v="2024"/>
      </sharedItems>
    </cacheField>
  </cacheFields>
  <cacheHierarchies count="37">
    <cacheHierarchy uniqueName="[Calendar Table].[Date]" caption="Date" attribute="1" time="1" defaultMemberUniqueName="[Calendar Table].[Date].[All]" allUniqueName="[Calendar Table].[Date].[All]" dimensionUniqueName="[Calendar Table]" displayFolder="" count="2"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1"/>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hrs]" caption="Patient Admission hrs" attribute="1" time="1" defaultMemberUniqueName="[Hospital Emergency Room Data].[Patient Admission hrs].[All]" allUniqueName="[Hospital Emergency Room Data].[Patient Admission hrs].[All]" dimensionUniqueName="[Hospital Emergency Room Data]" displayFolder="" count="2" memberValueDatatype="7" unbalanced="0"/>
    <cacheHierarchy uniqueName="[Hospital Emergency Room Data].[Full_Name]" caption="Full_Name" attribute="1" defaultMemberUniqueName="[Hospital Emergency Room Data].[Full_Name].[All]" allUniqueName="[Hospital Emergency Room Data].[Full_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NOBODY" refreshedDate="46001.576436689815" createdVersion="3" refreshedVersion="8" minRefreshableVersion="3" recordCount="0" supportSubquery="1" supportAdvancedDrill="1" xr:uid="{F7C333ED-D695-46E3-848F-37C2443048CA}">
  <cacheSource type="external" connectionId="4">
    <extLst>
      <ext xmlns:x14="http://schemas.microsoft.com/office/spreadsheetml/2009/9/main" uri="{F057638F-6D5F-4e77-A914-E7F072B9BCA8}">
        <x14:sourceConnection name="ThisWorkbookDataModel"/>
      </ext>
    </extLst>
  </cacheSource>
  <cacheFields count="0"/>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hrs]" caption="Patient Admission hrs" attribute="1" time="1" defaultMemberUniqueName="[Hospital Emergency Room Data].[Patient Admission hrs].[All]" allUniqueName="[Hospital Emergency Room Data].[Patient Admission hrs].[All]" dimensionUniqueName="[Hospital Emergency Room Data]" displayFolder="" count="0" memberValueDatatype="7" unbalanced="0"/>
    <cacheHierarchy uniqueName="[Hospital Emergency Room Data].[Full_Name]" caption="Full_Name" attribute="1" defaultMemberUniqueName="[Hospital Emergency Room Data].[Full_Name].[All]" allUniqueName="[Hospital Emergency Room Data].[Full_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10776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B200D9-DE24-4626-82A0-0CD92E8C00DE}" name="PivotTable16" cacheId="1511" applyNumberFormats="0" applyBorderFormats="0" applyFontFormats="0" applyPatternFormats="0" applyAlignmentFormats="0" applyWidthHeightFormats="1" dataCaption="Values" tag="6b1b7a97-2ef5-417c-881f-c2192998b02a" updatedVersion="8" minRefreshableVersion="3" useAutoFormatting="1" subtotalHiddenItems="1" itemPrintTitles="1" createdVersion="5" indent="0" outline="1" outlineData="1" multipleFieldFilters="0" chartFormat="28">
  <location ref="M9:M11"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132">
      <pivotArea outline="0" collapsedLevelsAreSubtotals="1" fieldPosition="0"/>
    </format>
  </formats>
  <pivotHierarchies count="37">
    <pivotHierarchy dragToData="1"/>
    <pivotHierarchy multipleItemSelectionAllowed="1" dragToData="1">
      <members count="1" level="1">
        <member name="[Calendar Table].[Dat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Age"/>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A508A1-AF8E-49D9-8F04-60987B68C866}" name="PivotTable13" cacheId="1508" applyNumberFormats="0" applyBorderFormats="0" applyFontFormats="0" applyPatternFormats="0" applyAlignmentFormats="0" applyWidthHeightFormats="1" dataCaption="Values" tag="95c2fafb-5309-401a-b31d-b0976e634378" updatedVersion="8" minRefreshableVersion="3" useAutoFormatting="1" subtotalHiddenItems="1" itemPrintTitles="1" createdVersion="5" indent="0" outline="1" outlineData="1" multipleFieldFilters="0" chartFormat="25">
  <location ref="D52:E6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Patient Id" fld="1" subtotal="count" baseField="0" baseItem="0"/>
  </dataFields>
  <formats count="4">
    <format dxfId="206">
      <pivotArea outline="0" collapsedLevelsAreSubtotals="1" fieldPosition="0"/>
    </format>
    <format dxfId="205">
      <pivotArea collapsedLevelsAreSubtotals="1" fieldPosition="0">
        <references count="1">
          <reference field="2" count="1">
            <x v="0"/>
          </reference>
        </references>
      </pivotArea>
    </format>
    <format dxfId="204">
      <pivotArea collapsedLevelsAreSubtotals="1" fieldPosition="0">
        <references count="1">
          <reference field="2" count="7">
            <x v="1"/>
            <x v="2"/>
            <x v="3"/>
            <x v="4"/>
            <x v="5"/>
            <x v="6"/>
            <x v="7"/>
          </reference>
        </references>
      </pivotArea>
    </format>
    <format dxfId="203">
      <pivotArea grandRow="1" outline="0" collapsedLevelsAreSubtotals="1" fieldPosition="0"/>
    </format>
  </formats>
  <chartFormats count="2">
    <chartFormat chart="18"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Age"/>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94585F-6645-4FB4-B9DA-9A391507F446}" name="PivotTable12" cacheId="1505" applyNumberFormats="0" applyBorderFormats="0" applyFontFormats="0" applyPatternFormats="0" applyAlignmentFormats="0" applyWidthHeightFormats="1" dataCaption="Values" tag="56fbc88f-ae40-422d-be3d-3bad89a9c1fc" updatedVersion="8" minRefreshableVersion="3" useAutoFormatting="1" subtotalHiddenItems="1" itemPrintTitles="1" createdVersion="5" indent="0" outline="1" outlineData="1" multipleFieldFilters="0" chartFormat="36">
  <location ref="G46:H4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showDataAs="percentOfTotal" baseField="2" baseItem="0" numFmtId="10"/>
  </dataFields>
  <formats count="2">
    <format dxfId="208">
      <pivotArea outline="0" collapsedLevelsAreSubtotals="1" fieldPosition="0"/>
    </format>
    <format dxfId="207">
      <pivotArea outline="0" fieldPosition="0">
        <references count="1">
          <reference field="4294967294" count="1">
            <x v="0"/>
          </reference>
        </references>
      </pivotArea>
    </format>
  </formats>
  <chartFormats count="7">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30" format="7">
      <pivotArea type="data" outline="0" fieldPosition="0">
        <references count="2">
          <reference field="4294967294" count="1" selected="0">
            <x v="0"/>
          </reference>
          <reference field="2" count="1" selected="0">
            <x v="0"/>
          </reference>
        </references>
      </pivotArea>
    </chartFormat>
    <chartFormat chart="30" format="8">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Age"/>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DBA92B-4B8A-4C70-8362-C3045D719187}" name="PivotTable11" cacheId="1502" applyNumberFormats="0" applyBorderFormats="0" applyFontFormats="0" applyPatternFormats="0" applyAlignmentFormats="0" applyWidthHeightFormats="1" dataCaption="Values" tag="8099e8dc-df33-451b-8a76-45ef100b980a" updatedVersion="8" minRefreshableVersion="3" useAutoFormatting="1" subtotalHiddenItems="1" itemPrintTitles="1" createdVersion="5" indent="0" outline="1" outlineData="1" multipleFieldFilters="0" chartFormat="28">
  <location ref="G40:H4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numFmtId="1"/>
  </dataFields>
  <formats count="1">
    <format dxfId="202">
      <pivotArea outline="0" collapsedLevelsAreSubtotals="1" fieldPosition="0"/>
    </format>
  </formats>
  <chartFormats count="5">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2" count="1" selected="0">
            <x v="0"/>
          </reference>
        </references>
      </pivotArea>
    </chartFormat>
    <chartFormat chart="26" format="8">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Age"/>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8F2B0A-6C7B-414C-B166-14A3C6268630}" name="PivotTable10" cacheId="1499" applyNumberFormats="0" applyBorderFormats="0" applyFontFormats="0" applyPatternFormats="0" applyAlignmentFormats="0" applyWidthHeightFormats="1" dataCaption="Values" tag="b8a5b784-5b99-4a92-bfd8-2728f56150de" updatedVersion="8" minRefreshableVersion="3" useAutoFormatting="1" subtotalHiddenItems="1" itemPrintTitles="1" createdVersion="5" indent="0" outline="1" outlineData="1" multipleFieldFilters="0" chartFormat="24">
  <location ref="D40:E4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Count of Patient Id" fld="2" subtotal="count" baseField="0" baseItem="0"/>
  </dataFields>
  <formats count="1">
    <format dxfId="209">
      <pivotArea outline="0" collapsedLevelsAreSubtotals="1" fieldPosition="0"/>
    </format>
  </formats>
  <chartFormats count="8">
    <chartFormat chart="18" format="2" series="1">
      <pivotArea type="data" outline="0" fieldPosition="0">
        <references count="1">
          <reference field="4294967294" count="1" selected="0">
            <x v="0"/>
          </reference>
        </references>
      </pivotArea>
    </chartFormat>
    <chartFormat chart="18" format="3" series="1">
      <pivotArea type="data" outline="0" fieldPosition="0">
        <references count="2">
          <reference field="4294967294" count="1" selected="0">
            <x v="0"/>
          </reference>
          <reference field="1" count="1" selected="0">
            <x v="1"/>
          </reference>
        </references>
      </pivotArea>
    </chartFormat>
    <chartFormat chart="18" format="4" series="1">
      <pivotArea type="data" outline="0" fieldPosition="0">
        <references count="2">
          <reference field="4294967294" count="1" selected="0">
            <x v="0"/>
          </reference>
          <reference field="1" count="1" selected="0">
            <x v="2"/>
          </reference>
        </references>
      </pivotArea>
    </chartFormat>
    <chartFormat chart="18" format="5" series="1">
      <pivotArea type="data" outline="0" fieldPosition="0">
        <references count="2">
          <reference field="4294967294" count="1" selected="0">
            <x v="0"/>
          </reference>
          <reference field="1" count="1" selected="0">
            <x v="3"/>
          </reference>
        </references>
      </pivotArea>
    </chartFormat>
    <chartFormat chart="18" format="6" series="1">
      <pivotArea type="data" outline="0" fieldPosition="0">
        <references count="2">
          <reference field="4294967294" count="1" selected="0">
            <x v="0"/>
          </reference>
          <reference field="1" count="1" selected="0">
            <x v="4"/>
          </reference>
        </references>
      </pivotArea>
    </chartFormat>
    <chartFormat chart="18" format="7" series="1">
      <pivotArea type="data" outline="0" fieldPosition="0">
        <references count="2">
          <reference field="4294967294" count="1" selected="0">
            <x v="0"/>
          </reference>
          <reference field="1" count="1" selected="0">
            <x v="5"/>
          </reference>
        </references>
      </pivotArea>
    </chartFormat>
    <chartFormat chart="18" format="8" series="1">
      <pivotArea type="data" outline="0" fieldPosition="0">
        <references count="2">
          <reference field="4294967294" count="1" selected="0">
            <x v="0"/>
          </reference>
          <reference field="1" count="1" selected="0">
            <x v="6"/>
          </reference>
        </references>
      </pivotArea>
    </chartFormat>
    <chartFormat chart="18" format="9" series="1">
      <pivotArea type="data" outline="0" fieldPosition="0">
        <references count="2">
          <reference field="4294967294" count="1" selected="0">
            <x v="0"/>
          </reference>
          <reference field="1" count="1" selected="0">
            <x v="7"/>
          </reference>
        </references>
      </pivotArea>
    </chartFormat>
  </chartFormats>
  <pivotHierarchies count="37">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Age"/>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14CB7E-DFFE-4D9A-960A-4F024DBA4725}" name="PivotTable9" cacheId="1496" applyNumberFormats="0" applyBorderFormats="0" applyFontFormats="0" applyPatternFormats="0" applyAlignmentFormats="0" applyWidthHeightFormats="1" dataCaption="Values" tag="a7e692c2-c8e2-4ac9-a3b8-fc57616f6a28" updatedVersion="8" minRefreshableVersion="3" useAutoFormatting="1" subtotalHiddenItems="1" itemPrintTitles="1" createdVersion="5" indent="0" outline="1" outlineData="1" multipleFieldFilters="0">
  <location ref="A35:B11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s>
    </pivotField>
    <pivotField allDrilled="1" subtotalTop="0" showAll="0" dataSourceSort="1" defaultSubtotal="0" defaultAttributeDrillState="1"/>
  </pivotFields>
  <rowFields count="1">
    <field x="2"/>
  </rowFields>
  <rowItems count="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formats count="1">
    <format dxfId="210">
      <pivotArea outline="0" collapsedLevelsAreSubtotals="1" fieldPosition="0"/>
    </format>
  </formats>
  <pivotHierarchies count="37">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Age"/>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834625-E413-469A-8452-81A34DFFB38C}" name="PivotTable8" cacheId="1493" applyNumberFormats="0" applyBorderFormats="0" applyFontFormats="0" applyPatternFormats="0" applyAlignmentFormats="0" applyWidthHeightFormats="1" dataCaption="Values" tag="e9da1287-cba3-491e-b2f3-21d5a89574aa" updatedVersion="8" minRefreshableVersion="3" useAutoFormatting="1" subtotalHiddenItems="1" itemPrintTitles="1" createdVersion="5" indent="0" outline="1" outlineData="1" multipleFieldFilters="0" chartFormat="15">
  <location ref="A28:C3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1" baseItem="0" numFmtId="10">
      <extLst>
        <ext xmlns:x14="http://schemas.microsoft.com/office/spreadsheetml/2009/9/main" uri="{E15A36E0-9728-4e99-A89B-3F7291B0FE68}">
          <x14:dataField sourceField="2" uniqueName="[__Xl2].[Measures].[Count of Patient Admission Flag]"/>
        </ext>
      </extLst>
    </dataField>
  </dataFields>
  <formats count="2">
    <format dxfId="212">
      <pivotArea outline="0" collapsedLevelsAreSubtotals="1" fieldPosition="0"/>
    </format>
    <format dxfId="211">
      <pivotArea outline="0" fieldPosition="0">
        <references count="1">
          <reference field="4294967294" count="1">
            <x v="1"/>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Age"/>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490250-5DA3-4F30-8CF7-90A6BAF4D75E}" name="PivotTable7" cacheId="1490" applyNumberFormats="0" applyBorderFormats="0" applyFontFormats="0" applyPatternFormats="0" applyAlignmentFormats="0" applyWidthHeightFormats="1" dataCaption="Values" tag="96b5a3aa-b3c3-4638-bf20-2e7665f7f0ac" updatedVersion="8" minRefreshableVersion="3" useAutoFormatting="1" subtotalHiddenItems="1" itemPrintTitles="1" createdVersion="5" indent="0" outline="1" outlineData="1" multipleFieldFilters="0" chartFormat="19">
  <location ref="J4:K36"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213">
      <pivotArea collapsedLevelsAreSubtotals="1" fieldPosition="0">
        <references count="1">
          <reference field="0" count="1">
            <x v="31"/>
          </reference>
        </references>
      </pivotArea>
    </format>
    <format dxfId="214">
      <pivotArea outline="0" collapsedLevelsAreSubtotals="1" fieldPosition="0"/>
    </format>
  </formats>
  <chartFormats count="2">
    <chartFormat chart="1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Age"/>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9D9FD5-B1C2-4558-AC0A-6DF909850131}" name="PivotTable6" cacheId="1487" applyNumberFormats="0" applyBorderFormats="0" applyFontFormats="0" applyPatternFormats="0" applyAlignmentFormats="0" applyWidthHeightFormats="1" dataCaption="Values" tag="39d48f3e-0146-4ebb-83cd-ed37549bda2c" updatedVersion="8" minRefreshableVersion="3" useAutoFormatting="1" subtotalHiddenItems="1" itemPrintTitles="1" createdVersion="5" indent="0" outline="1" outlineData="1" multipleFieldFilters="0" chartFormat="17">
  <location ref="G4:H36"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218">
      <pivotArea collapsedLevelsAreSubtotals="1" fieldPosition="0">
        <references count="1">
          <reference field="0" count="1">
            <x v="31"/>
          </reference>
        </references>
      </pivotArea>
    </format>
    <format dxfId="215">
      <pivotArea outline="0" collapsedLevelsAreSubtotals="1" fieldPosition="0"/>
    </format>
  </formats>
  <chartFormats count="2">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Age"/>
    <pivotHierarchy dragToData="1" caption="Distinct Count of Patient Id"/>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E01054-7521-4E1E-A5F5-F84D40CE60B8}" name="PivotTable5" cacheId="1475" applyNumberFormats="0" applyBorderFormats="0" applyFontFormats="0" applyPatternFormats="0" applyAlignmentFormats="0" applyWidthHeightFormats="1" dataCaption="Values" tag="b04dca8d-90c2-4db9-9da2-76557ce390ef" updatedVersion="8" minRefreshableVersion="3" useAutoFormatting="1" subtotalHiddenItems="1" itemPrintTitles="1" createdVersion="5" indent="0" outline="1" outlineData="1" multipleFieldFilters="0" chartFormat="9">
  <location ref="D4:E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1" subtotal="count" baseField="0" baseItem="1">
      <extLst>
        <ext xmlns:x15="http://schemas.microsoft.com/office/spreadsheetml/2010/11/main" uri="{FABC7310-3BB5-11E1-824E-6D434824019B}">
          <x15:dataField isCountDistinct="1"/>
        </ext>
      </extLst>
    </dataField>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Age"/>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D6DCCF-0BDE-44C3-8778-E088F359493A}" name="PivotTable3" cacheId="1484" applyNumberFormats="0" applyBorderFormats="0" applyFontFormats="0" applyPatternFormats="0" applyAlignmentFormats="0" applyWidthHeightFormats="1" dataCaption="Values" tag="c0b21f9c-7b00-4c76-9f94-fb46eba943ab" updatedVersion="8" minRefreshableVersion="3" useAutoFormatting="1"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20">
      <pivotArea outline="0" collapsedLevelsAreSubtotals="1" fieldPosition="0"/>
    </format>
  </formats>
  <pivotHierarchies count="37">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Age"/>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397723E-0018-4FCE-9D3C-BA446E8E748D}" name="PivotTable2" cacheId="1481" applyNumberFormats="0" applyBorderFormats="0" applyFontFormats="0" applyPatternFormats="0" applyAlignmentFormats="0" applyWidthHeightFormats="1" dataCaption="Values" tag="8aa3de6c-03be-4eaa-accc-7e8c9bfd1be2" updatedVersion="8" minRefreshableVersion="3" useAutoFormatting="1"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19">
      <pivotArea outline="0" collapsedLevelsAreSubtotals="1" fieldPosition="0"/>
    </format>
  </formats>
  <pivotHierarchies count="37">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Age"/>
    <pivotHierarchy dragToData="1" caption="Distinct Count of Patient Id"/>
    <pivotHierarchy dragToData="1"/>
    <pivotHierarchy dragToData="1" caption="Average of Patient Waittim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44BEDE9-7C2A-4AE3-B98B-BC27E1DA9E10}" name="PivotTable1" cacheId="1478" applyNumberFormats="0" applyBorderFormats="0" applyFontFormats="0" applyPatternFormats="0" applyAlignmentFormats="0" applyWidthHeightFormats="1" dataCaption="Values" tag="cf90fb1a-fc2f-4b53-8ac2-1d92f0bdc4dd" updatedVersion="8" minRefreshableVersion="3" useAutoFormatting="1" subtotalHiddenItems="1" itemPrintTitles="1" createdVersion="5" indent="0" outline="1" outlineData="1" multipleFieldFilters="0" chartFormat="1">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Patient Age"/>
    <pivotHierarchy dragToData="1" caption="Distinct Count of Patient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417DCB2-D0D7-4D75-85CC-1A4B982D7485}" autoFormatId="16" applyNumberFormats="0" applyBorderFormats="0" applyFontFormats="0" applyPatternFormats="0" applyAlignmentFormats="0" applyWidthHeightFormats="0">
  <queryTableRefresh nextId="17">
    <queryTableFields count="16">
      <queryTableField id="1" name="Hospital Emergency Room Data[Patient Id]" tableColumnId="1"/>
      <queryTableField id="2" name="Hospital Emergency Room Data[Patient Admission Date]" tableColumnId="2"/>
      <queryTableField id="3" name="Hospital Emergency Room Data[Patient Admission hrs]" tableColumnId="3"/>
      <queryTableField id="4" name="Hospital Emergency Room Data[Full_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Patient Attend Status]" tableColumnId="12"/>
      <queryTableField id="13" name="Hospital Emergency Room Data[Patient Admission Date (Year)]" tableColumnId="13"/>
      <queryTableField id="14" name="Hospital Emergency Room Data[Patient Admission Date (Quarter)]" tableColumnId="14"/>
      <queryTableField id="15" name="Hospital Emergency Room Data[Patient Admission Date (Month)]" tableColumnId="15"/>
      <queryTableField id="16" name="Hospital Emergency Room Data[Patient Admission Date (Month Index)]" tableColumnId="1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135B4BB-31C7-426A-B197-89508A1C683E}" sourceName="[Calendar Table].[Date (Month)]">
  <pivotTables>
    <pivotTable tabId="1" name="PivotTable5"/>
    <pivotTable tabId="1" name="PivotTable1"/>
    <pivotTable tabId="1" name="PivotTable2"/>
    <pivotTable tabId="1" name="PivotTable3"/>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 tabId="1" name="PivotTable16"/>
  </pivotTables>
  <data>
    <olap pivotCacheId="21077660">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nd="1"/>
              <i n="[Calendar Table].[Date (Month)].&amp;[Dec]" c="Dec" nd="1"/>
            </range>
          </ranges>
        </level>
      </levels>
      <selections count="1">
        <selection n="[Calendar 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EFE2CE3-4491-454A-840E-3C28ADE35E1E}" sourceName="[Calendar Table].[Date (Year)]">
  <pivotTables>
    <pivotTable tabId="1" name="PivotTable16"/>
    <pivotTable tabId="1" name="PivotTable1"/>
    <pivotTable tabId="1" name="PivotTable10"/>
    <pivotTable tabId="1" name="PivotTable11"/>
    <pivotTable tabId="1" name="PivotTable12"/>
    <pivotTable tabId="1" name="PivotTable13"/>
    <pivotTable tabId="1" name="PivotTable2"/>
    <pivotTable tabId="1" name="PivotTable3"/>
    <pivotTable tabId="1" name="PivotTable5"/>
    <pivotTable tabId="1" name="PivotTable6"/>
    <pivotTable tabId="1" name="PivotTable7"/>
    <pivotTable tabId="1" name="PivotTable8"/>
    <pivotTable tabId="1" name="PivotTable9"/>
  </pivotTables>
  <data>
    <olap pivotCacheId="21077660">
      <levels count="2">
        <level uniqueName="[Calendar Table].[Date (Year)].[(All)]" sourceCaption="(All)" count="0"/>
        <level uniqueName="[Calendar Table].[Date (Year)].[Date (Year)]" sourceCaption="Date (Year)" count="2">
          <ranges>
            <range startItem="0">
              <i n="[Calendar Table].[Date (Year)].&amp;[2023]" c="2023"/>
              <i n="[Calendar Table].[Date (Year)].&amp;[2024]" c="2024"/>
            </range>
          </ranges>
        </level>
      </levels>
      <selections count="1">
        <selection n="[Calenda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7E3A176-6EA9-44C7-8B27-DD571BC48E51}" cache="Slicer_Date__Month" caption="Date (Month)" showCaption="0" level="1" style="SlicerStyleLight1 2" rowHeight="180000"/>
  <slicer name="Date (Year)" xr10:uid="{6C302C34-0187-46FC-B5C7-49F0C4C5E65D}" cache="Slicer_Date__Year" caption="Date (Year)" columnCount="2" showCaption="0" level="1" style="SlicerStyleLight1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4F2881-4836-44A6-9F75-AFEABC568598}" name="Table_ExternalData_1" displayName="Table_ExternalData_1" ref="A3:P34" tableType="queryTable" totalsRowShown="0">
  <autoFilter ref="A3:P34" xr:uid="{BD4F2881-4836-44A6-9F75-AFEABC568598}"/>
  <tableColumns count="16">
    <tableColumn id="1" xr3:uid="{148AE9E5-B499-49F8-AEC3-814011D49DE1}" uniqueName="1" name="Hospital Emergency Room Data[Patient Id]" queryTableFieldId="1"/>
    <tableColumn id="2" xr3:uid="{3B924CA4-1CD8-4456-B5EF-540498E75408}" uniqueName="2" name="Hospital Emergency Room Data[Patient Admission Date]" queryTableFieldId="2" dataDxfId="217"/>
    <tableColumn id="3" xr3:uid="{AF8B860D-503C-47D8-8E55-D6AD1C83D15F}" uniqueName="3" name="Hospital Emergency Room Data[Patient Admission hrs]" queryTableFieldId="3" dataDxfId="216"/>
    <tableColumn id="4" xr3:uid="{102CC1BD-A1DB-43EF-948D-16B5818BD945}" uniqueName="4" name="Hospital Emergency Room Data[Full_Name]" queryTableFieldId="4"/>
    <tableColumn id="5" xr3:uid="{2A45FE91-9FB3-428A-99F6-7CF5BB94167D}" uniqueName="5" name="Hospital Emergency Room Data[Patient Gender]" queryTableFieldId="5"/>
    <tableColumn id="6" xr3:uid="{46C54B10-3394-4688-B5AF-815D9B188A3F}" uniqueName="6" name="Hospital Emergency Room Data[Patient Age]" queryTableFieldId="6"/>
    <tableColumn id="7" xr3:uid="{8AF0E0E7-8819-4424-8643-9CB43F770380}" uniqueName="7" name="Hospital Emergency Room Data[Patient Race]" queryTableFieldId="7"/>
    <tableColumn id="8" xr3:uid="{2D2C547E-BB7B-4A14-A62C-3E9DD06B4F0D}" uniqueName="8" name="Hospital Emergency Room Data[Department Referral]" queryTableFieldId="8"/>
    <tableColumn id="9" xr3:uid="{ABFA6210-4C5E-4D96-B1AE-1867341B1101}" uniqueName="9" name="Hospital Emergency Room Data[Patient Admission Flag]" queryTableFieldId="9"/>
    <tableColumn id="10" xr3:uid="{B3929A55-4CC7-4C10-B871-C760E24B445A}" uniqueName="10" name="Hospital Emergency Room Data[Patient Satisfaction Score]" queryTableFieldId="10"/>
    <tableColumn id="11" xr3:uid="{E09FDBD6-055F-4728-ABA0-9F3EBAA31938}" uniqueName="11" name="Hospital Emergency Room Data[Patient Waittime]" queryTableFieldId="11"/>
    <tableColumn id="12" xr3:uid="{FB20F82A-206F-4CFB-90EC-7B3BC5773280}" uniqueName="12" name="Hospital Emergency Room Data[Patient Attend Status]" queryTableFieldId="12"/>
    <tableColumn id="13" xr3:uid="{D46612F3-37D5-4011-93CC-DCE17D7F8069}" uniqueName="13" name="Hospital Emergency Room Data[Patient Admission Date (Year)]" queryTableFieldId="13"/>
    <tableColumn id="14" xr3:uid="{282F2CF3-44B9-446A-AED8-BBE29DD58435}" uniqueName="14" name="Hospital Emergency Room Data[Patient Admission Date (Quarter)]" queryTableFieldId="14"/>
    <tableColumn id="15" xr3:uid="{075E55BA-D9B0-4046-B1EB-5EF873A8FEA8}" uniqueName="15" name="Hospital Emergency Room Data[Patient Admission Date (Month)]" queryTableFieldId="15"/>
    <tableColumn id="16" xr3:uid="{4E3CA84C-AAD6-4F84-8310-0F10034BE05E}" uniqueName="16" name="Hospital Emergency Room Data[Patient Admission Date (Month Index)]" queryTableField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70DE6-B803-4332-A06C-16C671F1DD65}">
  <dimension ref="A1:P34"/>
  <sheetViews>
    <sheetView workbookViewId="0"/>
  </sheetViews>
  <sheetFormatPr defaultRowHeight="14.4" x14ac:dyDescent="0.3"/>
  <cols>
    <col min="1" max="1" width="38.88671875" bestFit="1" customWidth="1"/>
    <col min="2" max="2" width="50.5546875" bestFit="1" customWidth="1"/>
    <col min="3" max="3" width="49.21875" bestFit="1" customWidth="1"/>
    <col min="4" max="4" width="39.77734375" bestFit="1" customWidth="1"/>
    <col min="5" max="5" width="43.44140625" bestFit="1" customWidth="1"/>
    <col min="6" max="6" width="40.33203125" bestFit="1" customWidth="1"/>
    <col min="7" max="7" width="41.44140625" bestFit="1" customWidth="1"/>
    <col min="8" max="8" width="48" bestFit="1" customWidth="1"/>
    <col min="9" max="9" width="50.109375" bestFit="1" customWidth="1"/>
    <col min="10" max="10" width="52.77734375" bestFit="1" customWidth="1"/>
    <col min="11" max="11" width="45.21875" bestFit="1" customWidth="1"/>
    <col min="12" max="12" width="48.77734375" bestFit="1" customWidth="1"/>
    <col min="13" max="13" width="56" bestFit="1" customWidth="1"/>
    <col min="14" max="14" width="58.77734375" bestFit="1" customWidth="1"/>
    <col min="15" max="15" width="57.5546875" bestFit="1" customWidth="1"/>
    <col min="16" max="16" width="62.5546875" bestFit="1" customWidth="1"/>
  </cols>
  <sheetData>
    <row r="1" spans="1:16" x14ac:dyDescent="0.3">
      <c r="A1" s="8" t="s">
        <v>141</v>
      </c>
    </row>
    <row r="3" spans="1:16" x14ac:dyDescent="0.3">
      <c r="A3" t="s">
        <v>82</v>
      </c>
      <c r="B3" t="s">
        <v>83</v>
      </c>
      <c r="C3" t="s">
        <v>84</v>
      </c>
      <c r="D3" t="s">
        <v>85</v>
      </c>
      <c r="E3" t="s">
        <v>86</v>
      </c>
      <c r="F3" t="s">
        <v>87</v>
      </c>
      <c r="G3" t="s">
        <v>88</v>
      </c>
      <c r="H3" t="s">
        <v>89</v>
      </c>
      <c r="I3" t="s">
        <v>90</v>
      </c>
      <c r="J3" t="s">
        <v>91</v>
      </c>
      <c r="K3" t="s">
        <v>92</v>
      </c>
      <c r="L3" t="s">
        <v>93</v>
      </c>
      <c r="M3" t="s">
        <v>94</v>
      </c>
      <c r="N3" t="s">
        <v>95</v>
      </c>
      <c r="O3" t="s">
        <v>96</v>
      </c>
      <c r="P3" t="s">
        <v>97</v>
      </c>
    </row>
    <row r="4" spans="1:16" x14ac:dyDescent="0.3">
      <c r="A4" t="s">
        <v>29</v>
      </c>
      <c r="B4" s="6">
        <v>45017</v>
      </c>
      <c r="C4" s="7">
        <v>0.25486111111111109</v>
      </c>
      <c r="D4" t="s">
        <v>98</v>
      </c>
      <c r="E4" t="s">
        <v>99</v>
      </c>
      <c r="F4">
        <v>6</v>
      </c>
      <c r="G4" t="s">
        <v>8</v>
      </c>
      <c r="H4" t="s">
        <v>100</v>
      </c>
      <c r="I4" t="s">
        <v>101</v>
      </c>
      <c r="K4">
        <v>52</v>
      </c>
      <c r="L4" t="s">
        <v>102</v>
      </c>
      <c r="M4" t="s">
        <v>47</v>
      </c>
      <c r="N4" t="s">
        <v>49</v>
      </c>
      <c r="O4" t="s">
        <v>50</v>
      </c>
      <c r="P4">
        <v>4</v>
      </c>
    </row>
    <row r="5" spans="1:16" x14ac:dyDescent="0.3">
      <c r="A5" t="s">
        <v>11</v>
      </c>
      <c r="B5" s="6">
        <v>45017</v>
      </c>
      <c r="C5" s="7">
        <v>0.79652777777777772</v>
      </c>
      <c r="D5" t="s">
        <v>103</v>
      </c>
      <c r="E5" t="s">
        <v>99</v>
      </c>
      <c r="F5">
        <v>64</v>
      </c>
      <c r="G5" t="s">
        <v>8</v>
      </c>
      <c r="H5" t="s">
        <v>100</v>
      </c>
      <c r="I5" t="s">
        <v>104</v>
      </c>
      <c r="K5">
        <v>59</v>
      </c>
      <c r="L5" t="s">
        <v>102</v>
      </c>
      <c r="M5" t="s">
        <v>47</v>
      </c>
      <c r="N5" t="s">
        <v>49</v>
      </c>
      <c r="O5" t="s">
        <v>50</v>
      </c>
      <c r="P5">
        <v>4</v>
      </c>
    </row>
    <row r="6" spans="1:16" x14ac:dyDescent="0.3">
      <c r="A6" t="s">
        <v>17</v>
      </c>
      <c r="B6" s="6">
        <v>45383</v>
      </c>
      <c r="C6" s="7">
        <v>0.36527777777777776</v>
      </c>
      <c r="D6" t="s">
        <v>105</v>
      </c>
      <c r="E6" t="s">
        <v>99</v>
      </c>
      <c r="F6">
        <v>76</v>
      </c>
      <c r="G6" t="s">
        <v>8</v>
      </c>
      <c r="H6" t="s">
        <v>100</v>
      </c>
      <c r="I6" t="s">
        <v>104</v>
      </c>
      <c r="K6">
        <v>23</v>
      </c>
      <c r="L6" t="s">
        <v>106</v>
      </c>
      <c r="M6" t="s">
        <v>48</v>
      </c>
      <c r="N6" t="s">
        <v>49</v>
      </c>
      <c r="O6" t="s">
        <v>50</v>
      </c>
      <c r="P6">
        <v>4</v>
      </c>
    </row>
    <row r="7" spans="1:16" x14ac:dyDescent="0.3">
      <c r="A7" t="s">
        <v>37</v>
      </c>
      <c r="B7" s="6">
        <v>45017</v>
      </c>
      <c r="C7" s="7">
        <v>0.40902777777777777</v>
      </c>
      <c r="D7" t="s">
        <v>107</v>
      </c>
      <c r="E7" t="s">
        <v>108</v>
      </c>
      <c r="F7">
        <v>38</v>
      </c>
      <c r="G7" t="s">
        <v>8</v>
      </c>
      <c r="H7" t="s">
        <v>100</v>
      </c>
      <c r="I7" t="s">
        <v>104</v>
      </c>
      <c r="K7">
        <v>50</v>
      </c>
      <c r="L7" t="s">
        <v>102</v>
      </c>
      <c r="M7" t="s">
        <v>47</v>
      </c>
      <c r="N7" t="s">
        <v>49</v>
      </c>
      <c r="O7" t="s">
        <v>50</v>
      </c>
      <c r="P7">
        <v>4</v>
      </c>
    </row>
    <row r="8" spans="1:16" x14ac:dyDescent="0.3">
      <c r="A8" t="s">
        <v>16</v>
      </c>
      <c r="B8" s="6">
        <v>45383</v>
      </c>
      <c r="C8" s="7">
        <v>0.58263888888888893</v>
      </c>
      <c r="D8" t="s">
        <v>109</v>
      </c>
      <c r="E8" t="s">
        <v>99</v>
      </c>
      <c r="F8">
        <v>11</v>
      </c>
      <c r="G8" t="s">
        <v>2</v>
      </c>
      <c r="H8" t="s">
        <v>100</v>
      </c>
      <c r="I8" t="s">
        <v>104</v>
      </c>
      <c r="K8">
        <v>20</v>
      </c>
      <c r="L8" t="s">
        <v>106</v>
      </c>
      <c r="M8" t="s">
        <v>48</v>
      </c>
      <c r="N8" t="s">
        <v>49</v>
      </c>
      <c r="O8" t="s">
        <v>50</v>
      </c>
      <c r="P8">
        <v>4</v>
      </c>
    </row>
    <row r="9" spans="1:16" x14ac:dyDescent="0.3">
      <c r="A9" t="s">
        <v>20</v>
      </c>
      <c r="B9" s="6">
        <v>45017</v>
      </c>
      <c r="C9" s="7">
        <v>0.7368055555555556</v>
      </c>
      <c r="D9" t="s">
        <v>110</v>
      </c>
      <c r="E9" t="s">
        <v>99</v>
      </c>
      <c r="F9">
        <v>38</v>
      </c>
      <c r="G9" t="s">
        <v>2</v>
      </c>
      <c r="H9" t="s">
        <v>100</v>
      </c>
      <c r="I9" t="s">
        <v>101</v>
      </c>
      <c r="K9">
        <v>54</v>
      </c>
      <c r="L9" t="s">
        <v>102</v>
      </c>
      <c r="M9" t="s">
        <v>47</v>
      </c>
      <c r="N9" t="s">
        <v>49</v>
      </c>
      <c r="O9" t="s">
        <v>50</v>
      </c>
      <c r="P9">
        <v>4</v>
      </c>
    </row>
    <row r="10" spans="1:16" x14ac:dyDescent="0.3">
      <c r="A10" t="s">
        <v>24</v>
      </c>
      <c r="B10" s="6">
        <v>45017</v>
      </c>
      <c r="C10" s="7">
        <v>0.58819444444444446</v>
      </c>
      <c r="D10" t="s">
        <v>111</v>
      </c>
      <c r="E10" t="s">
        <v>99</v>
      </c>
      <c r="F10">
        <v>46</v>
      </c>
      <c r="G10" t="s">
        <v>2</v>
      </c>
      <c r="H10" t="s">
        <v>100</v>
      </c>
      <c r="I10" t="s">
        <v>101</v>
      </c>
      <c r="K10">
        <v>45</v>
      </c>
      <c r="L10" t="s">
        <v>102</v>
      </c>
      <c r="M10" t="s">
        <v>47</v>
      </c>
      <c r="N10" t="s">
        <v>49</v>
      </c>
      <c r="O10" t="s">
        <v>50</v>
      </c>
      <c r="P10">
        <v>4</v>
      </c>
    </row>
    <row r="11" spans="1:16" x14ac:dyDescent="0.3">
      <c r="A11" t="s">
        <v>35</v>
      </c>
      <c r="B11" s="6">
        <v>45017</v>
      </c>
      <c r="C11" s="7">
        <v>0.76111111111111107</v>
      </c>
      <c r="D11" t="s">
        <v>112</v>
      </c>
      <c r="E11" t="s">
        <v>99</v>
      </c>
      <c r="F11">
        <v>55</v>
      </c>
      <c r="G11" t="s">
        <v>2</v>
      </c>
      <c r="H11" t="s">
        <v>100</v>
      </c>
      <c r="I11" t="s">
        <v>101</v>
      </c>
      <c r="K11">
        <v>24</v>
      </c>
      <c r="L11" t="s">
        <v>106</v>
      </c>
      <c r="M11" t="s">
        <v>47</v>
      </c>
      <c r="N11" t="s">
        <v>49</v>
      </c>
      <c r="O11" t="s">
        <v>50</v>
      </c>
      <c r="P11">
        <v>4</v>
      </c>
    </row>
    <row r="12" spans="1:16" x14ac:dyDescent="0.3">
      <c r="A12" t="s">
        <v>23</v>
      </c>
      <c r="B12" s="6">
        <v>45017</v>
      </c>
      <c r="C12" s="7">
        <v>0.99027777777777781</v>
      </c>
      <c r="D12" t="s">
        <v>113</v>
      </c>
      <c r="E12" t="s">
        <v>99</v>
      </c>
      <c r="F12">
        <v>79</v>
      </c>
      <c r="G12" t="s">
        <v>7</v>
      </c>
      <c r="H12" t="s">
        <v>100</v>
      </c>
      <c r="I12" t="s">
        <v>104</v>
      </c>
      <c r="K12">
        <v>45</v>
      </c>
      <c r="L12" t="s">
        <v>102</v>
      </c>
      <c r="M12" t="s">
        <v>47</v>
      </c>
      <c r="N12" t="s">
        <v>49</v>
      </c>
      <c r="O12" t="s">
        <v>50</v>
      </c>
      <c r="P12">
        <v>4</v>
      </c>
    </row>
    <row r="13" spans="1:16" x14ac:dyDescent="0.3">
      <c r="A13" t="s">
        <v>34</v>
      </c>
      <c r="B13" s="6">
        <v>45383</v>
      </c>
      <c r="C13" s="7">
        <v>0.9291666666666667</v>
      </c>
      <c r="D13" t="s">
        <v>114</v>
      </c>
      <c r="E13" t="s">
        <v>108</v>
      </c>
      <c r="F13">
        <v>1</v>
      </c>
      <c r="G13" t="s">
        <v>4</v>
      </c>
      <c r="H13" t="s">
        <v>100</v>
      </c>
      <c r="I13" t="s">
        <v>104</v>
      </c>
      <c r="K13">
        <v>12</v>
      </c>
      <c r="L13" t="s">
        <v>106</v>
      </c>
      <c r="M13" t="s">
        <v>48</v>
      </c>
      <c r="N13" t="s">
        <v>49</v>
      </c>
      <c r="O13" t="s">
        <v>50</v>
      </c>
      <c r="P13">
        <v>4</v>
      </c>
    </row>
    <row r="14" spans="1:16" x14ac:dyDescent="0.3">
      <c r="A14" t="s">
        <v>19</v>
      </c>
      <c r="B14" s="6">
        <v>45383</v>
      </c>
      <c r="C14" s="7">
        <v>0.91180555555555554</v>
      </c>
      <c r="D14" t="s">
        <v>115</v>
      </c>
      <c r="E14" t="s">
        <v>99</v>
      </c>
      <c r="F14">
        <v>72</v>
      </c>
      <c r="G14" t="s">
        <v>4</v>
      </c>
      <c r="H14" t="s">
        <v>100</v>
      </c>
      <c r="I14" t="s">
        <v>101</v>
      </c>
      <c r="K14">
        <v>51</v>
      </c>
      <c r="L14" t="s">
        <v>102</v>
      </c>
      <c r="M14" t="s">
        <v>48</v>
      </c>
      <c r="N14" t="s">
        <v>49</v>
      </c>
      <c r="O14" t="s">
        <v>50</v>
      </c>
      <c r="P14">
        <v>4</v>
      </c>
    </row>
    <row r="15" spans="1:16" x14ac:dyDescent="0.3">
      <c r="A15" t="s">
        <v>22</v>
      </c>
      <c r="B15" s="6">
        <v>45383</v>
      </c>
      <c r="C15" s="7">
        <v>0.15</v>
      </c>
      <c r="D15" t="s">
        <v>116</v>
      </c>
      <c r="E15" t="s">
        <v>99</v>
      </c>
      <c r="F15">
        <v>21</v>
      </c>
      <c r="G15" t="s">
        <v>4</v>
      </c>
      <c r="H15" t="s">
        <v>100</v>
      </c>
      <c r="I15" t="s">
        <v>104</v>
      </c>
      <c r="K15">
        <v>40</v>
      </c>
      <c r="L15" t="s">
        <v>102</v>
      </c>
      <c r="M15" t="s">
        <v>48</v>
      </c>
      <c r="N15" t="s">
        <v>49</v>
      </c>
      <c r="O15" t="s">
        <v>50</v>
      </c>
      <c r="P15">
        <v>4</v>
      </c>
    </row>
    <row r="16" spans="1:16" x14ac:dyDescent="0.3">
      <c r="A16" t="s">
        <v>39</v>
      </c>
      <c r="B16" s="6">
        <v>45383</v>
      </c>
      <c r="C16" s="7">
        <v>0.88680555555555551</v>
      </c>
      <c r="D16" t="s">
        <v>117</v>
      </c>
      <c r="E16" t="s">
        <v>108</v>
      </c>
      <c r="F16">
        <v>47</v>
      </c>
      <c r="G16" t="s">
        <v>3</v>
      </c>
      <c r="H16" t="s">
        <v>100</v>
      </c>
      <c r="I16" t="s">
        <v>101</v>
      </c>
      <c r="K16">
        <v>55</v>
      </c>
      <c r="L16" t="s">
        <v>102</v>
      </c>
      <c r="M16" t="s">
        <v>48</v>
      </c>
      <c r="N16" t="s">
        <v>49</v>
      </c>
      <c r="O16" t="s">
        <v>50</v>
      </c>
      <c r="P16">
        <v>4</v>
      </c>
    </row>
    <row r="17" spans="1:16" x14ac:dyDescent="0.3">
      <c r="A17" t="s">
        <v>15</v>
      </c>
      <c r="B17" s="6">
        <v>45383</v>
      </c>
      <c r="C17" s="7">
        <v>0.74375000000000002</v>
      </c>
      <c r="D17" t="s">
        <v>118</v>
      </c>
      <c r="E17" t="s">
        <v>108</v>
      </c>
      <c r="F17">
        <v>59</v>
      </c>
      <c r="G17" t="s">
        <v>3</v>
      </c>
      <c r="H17" t="s">
        <v>100</v>
      </c>
      <c r="I17" t="s">
        <v>101</v>
      </c>
      <c r="K17">
        <v>20</v>
      </c>
      <c r="L17" t="s">
        <v>106</v>
      </c>
      <c r="M17" t="s">
        <v>48</v>
      </c>
      <c r="N17" t="s">
        <v>49</v>
      </c>
      <c r="O17" t="s">
        <v>50</v>
      </c>
      <c r="P17">
        <v>4</v>
      </c>
    </row>
    <row r="18" spans="1:16" x14ac:dyDescent="0.3">
      <c r="A18" t="s">
        <v>18</v>
      </c>
      <c r="B18" s="6">
        <v>45017</v>
      </c>
      <c r="C18" s="7">
        <v>0.11458333333333333</v>
      </c>
      <c r="D18" t="s">
        <v>119</v>
      </c>
      <c r="E18" t="s">
        <v>108</v>
      </c>
      <c r="F18">
        <v>62</v>
      </c>
      <c r="G18" t="s">
        <v>3</v>
      </c>
      <c r="H18" t="s">
        <v>100</v>
      </c>
      <c r="I18" t="s">
        <v>104</v>
      </c>
      <c r="K18">
        <v>12</v>
      </c>
      <c r="L18" t="s">
        <v>106</v>
      </c>
      <c r="M18" t="s">
        <v>47</v>
      </c>
      <c r="N18" t="s">
        <v>49</v>
      </c>
      <c r="O18" t="s">
        <v>50</v>
      </c>
      <c r="P18">
        <v>4</v>
      </c>
    </row>
    <row r="19" spans="1:16" x14ac:dyDescent="0.3">
      <c r="A19" t="s">
        <v>26</v>
      </c>
      <c r="B19" s="6">
        <v>45383</v>
      </c>
      <c r="C19" s="7">
        <v>0.48541666666666666</v>
      </c>
      <c r="D19" t="s">
        <v>120</v>
      </c>
      <c r="E19" t="s">
        <v>99</v>
      </c>
      <c r="F19">
        <v>42</v>
      </c>
      <c r="G19" t="s">
        <v>6</v>
      </c>
      <c r="H19" t="s">
        <v>100</v>
      </c>
      <c r="I19" t="s">
        <v>101</v>
      </c>
      <c r="K19">
        <v>44</v>
      </c>
      <c r="L19" t="s">
        <v>102</v>
      </c>
      <c r="M19" t="s">
        <v>48</v>
      </c>
      <c r="N19" t="s">
        <v>49</v>
      </c>
      <c r="O19" t="s">
        <v>50</v>
      </c>
      <c r="P19">
        <v>4</v>
      </c>
    </row>
    <row r="20" spans="1:16" x14ac:dyDescent="0.3">
      <c r="A20" t="s">
        <v>21</v>
      </c>
      <c r="B20" s="6">
        <v>45017</v>
      </c>
      <c r="C20" s="7">
        <v>0.63194444444444442</v>
      </c>
      <c r="D20" t="s">
        <v>121</v>
      </c>
      <c r="E20" t="s">
        <v>99</v>
      </c>
      <c r="F20">
        <v>20</v>
      </c>
      <c r="G20" t="s">
        <v>3</v>
      </c>
      <c r="H20" t="s">
        <v>122</v>
      </c>
      <c r="I20" t="s">
        <v>104</v>
      </c>
      <c r="K20">
        <v>30</v>
      </c>
      <c r="L20" t="s">
        <v>102</v>
      </c>
      <c r="M20" t="s">
        <v>47</v>
      </c>
      <c r="N20" t="s">
        <v>49</v>
      </c>
      <c r="O20" t="s">
        <v>50</v>
      </c>
      <c r="P20">
        <v>4</v>
      </c>
    </row>
    <row r="21" spans="1:16" x14ac:dyDescent="0.3">
      <c r="A21" t="s">
        <v>28</v>
      </c>
      <c r="B21" s="6">
        <v>45017</v>
      </c>
      <c r="C21" s="7">
        <v>0.30277777777777776</v>
      </c>
      <c r="D21" t="s">
        <v>123</v>
      </c>
      <c r="E21" t="s">
        <v>108</v>
      </c>
      <c r="F21">
        <v>69</v>
      </c>
      <c r="G21" t="s">
        <v>3</v>
      </c>
      <c r="H21" t="s">
        <v>122</v>
      </c>
      <c r="I21" t="s">
        <v>101</v>
      </c>
      <c r="K21">
        <v>50</v>
      </c>
      <c r="L21" t="s">
        <v>102</v>
      </c>
      <c r="M21" t="s">
        <v>47</v>
      </c>
      <c r="N21" t="s">
        <v>49</v>
      </c>
      <c r="O21" t="s">
        <v>50</v>
      </c>
      <c r="P21">
        <v>4</v>
      </c>
    </row>
    <row r="22" spans="1:16" x14ac:dyDescent="0.3">
      <c r="A22" t="s">
        <v>10</v>
      </c>
      <c r="B22" s="6">
        <v>45017</v>
      </c>
      <c r="C22" s="7">
        <v>0.9506944444444444</v>
      </c>
      <c r="D22" t="s">
        <v>124</v>
      </c>
      <c r="E22" t="s">
        <v>99</v>
      </c>
      <c r="F22">
        <v>71</v>
      </c>
      <c r="G22" t="s">
        <v>7</v>
      </c>
      <c r="H22" t="s">
        <v>122</v>
      </c>
      <c r="I22" t="s">
        <v>101</v>
      </c>
      <c r="K22">
        <v>14</v>
      </c>
      <c r="L22" t="s">
        <v>106</v>
      </c>
      <c r="M22" t="s">
        <v>47</v>
      </c>
      <c r="N22" t="s">
        <v>49</v>
      </c>
      <c r="O22" t="s">
        <v>50</v>
      </c>
      <c r="P22">
        <v>4</v>
      </c>
    </row>
    <row r="23" spans="1:16" x14ac:dyDescent="0.3">
      <c r="A23" t="s">
        <v>12</v>
      </c>
      <c r="B23" s="6">
        <v>45017</v>
      </c>
      <c r="C23" s="7">
        <v>0.19027777777777777</v>
      </c>
      <c r="D23" t="s">
        <v>125</v>
      </c>
      <c r="E23" t="s">
        <v>108</v>
      </c>
      <c r="F23">
        <v>79</v>
      </c>
      <c r="G23" t="s">
        <v>8</v>
      </c>
      <c r="H23" t="s">
        <v>122</v>
      </c>
      <c r="I23" t="s">
        <v>104</v>
      </c>
      <c r="K23">
        <v>21</v>
      </c>
      <c r="L23" t="s">
        <v>106</v>
      </c>
      <c r="M23" t="s">
        <v>47</v>
      </c>
      <c r="N23" t="s">
        <v>49</v>
      </c>
      <c r="O23" t="s">
        <v>50</v>
      </c>
      <c r="P23">
        <v>4</v>
      </c>
    </row>
    <row r="24" spans="1:16" x14ac:dyDescent="0.3">
      <c r="A24" t="s">
        <v>36</v>
      </c>
      <c r="B24" s="6">
        <v>45383</v>
      </c>
      <c r="C24" s="7">
        <v>0.43333333333333335</v>
      </c>
      <c r="D24" t="s">
        <v>126</v>
      </c>
      <c r="E24" t="s">
        <v>99</v>
      </c>
      <c r="F24">
        <v>56</v>
      </c>
      <c r="G24" t="s">
        <v>8</v>
      </c>
      <c r="H24" t="s">
        <v>127</v>
      </c>
      <c r="I24" t="s">
        <v>104</v>
      </c>
      <c r="K24">
        <v>43</v>
      </c>
      <c r="L24" t="s">
        <v>102</v>
      </c>
      <c r="M24" t="s">
        <v>48</v>
      </c>
      <c r="N24" t="s">
        <v>49</v>
      </c>
      <c r="O24" t="s">
        <v>50</v>
      </c>
      <c r="P24">
        <v>4</v>
      </c>
    </row>
    <row r="25" spans="1:16" x14ac:dyDescent="0.3">
      <c r="A25" t="s">
        <v>27</v>
      </c>
      <c r="B25" s="6">
        <v>45017</v>
      </c>
      <c r="C25" s="7">
        <v>0.93680555555555556</v>
      </c>
      <c r="D25" t="s">
        <v>128</v>
      </c>
      <c r="E25" t="s">
        <v>99</v>
      </c>
      <c r="F25">
        <v>43</v>
      </c>
      <c r="G25" t="s">
        <v>4</v>
      </c>
      <c r="H25" t="s">
        <v>127</v>
      </c>
      <c r="I25" t="s">
        <v>104</v>
      </c>
      <c r="K25">
        <v>47</v>
      </c>
      <c r="L25" t="s">
        <v>102</v>
      </c>
      <c r="M25" t="s">
        <v>47</v>
      </c>
      <c r="N25" t="s">
        <v>49</v>
      </c>
      <c r="O25" t="s">
        <v>50</v>
      </c>
      <c r="P25">
        <v>4</v>
      </c>
    </row>
    <row r="26" spans="1:16" x14ac:dyDescent="0.3">
      <c r="A26" t="s">
        <v>30</v>
      </c>
      <c r="B26" s="6">
        <v>45383</v>
      </c>
      <c r="C26" s="7">
        <v>0.69722222222222219</v>
      </c>
      <c r="D26" t="s">
        <v>129</v>
      </c>
      <c r="E26" t="s">
        <v>99</v>
      </c>
      <c r="F26">
        <v>37</v>
      </c>
      <c r="G26" t="s">
        <v>5</v>
      </c>
      <c r="H26" t="s">
        <v>127</v>
      </c>
      <c r="I26" t="s">
        <v>101</v>
      </c>
      <c r="K26">
        <v>20</v>
      </c>
      <c r="L26" t="s">
        <v>106</v>
      </c>
      <c r="M26" t="s">
        <v>48</v>
      </c>
      <c r="N26" t="s">
        <v>49</v>
      </c>
      <c r="O26" t="s">
        <v>50</v>
      </c>
      <c r="P26">
        <v>4</v>
      </c>
    </row>
    <row r="27" spans="1:16" x14ac:dyDescent="0.3">
      <c r="A27" t="s">
        <v>38</v>
      </c>
      <c r="B27" s="6">
        <v>45017</v>
      </c>
      <c r="C27" s="7">
        <v>0.92361111111111116</v>
      </c>
      <c r="D27" t="s">
        <v>130</v>
      </c>
      <c r="E27" t="s">
        <v>108</v>
      </c>
      <c r="F27">
        <v>10</v>
      </c>
      <c r="G27" t="s">
        <v>7</v>
      </c>
      <c r="H27" t="s">
        <v>131</v>
      </c>
      <c r="I27" t="s">
        <v>104</v>
      </c>
      <c r="K27">
        <v>45</v>
      </c>
      <c r="L27" t="s">
        <v>102</v>
      </c>
      <c r="M27" t="s">
        <v>47</v>
      </c>
      <c r="N27" t="s">
        <v>49</v>
      </c>
      <c r="O27" t="s">
        <v>50</v>
      </c>
      <c r="P27">
        <v>4</v>
      </c>
    </row>
    <row r="28" spans="1:16" x14ac:dyDescent="0.3">
      <c r="A28" t="s">
        <v>9</v>
      </c>
      <c r="B28" s="6">
        <v>45383</v>
      </c>
      <c r="C28" s="7">
        <v>0.17847222222222223</v>
      </c>
      <c r="D28" t="s">
        <v>132</v>
      </c>
      <c r="E28" t="s">
        <v>108</v>
      </c>
      <c r="F28">
        <v>20</v>
      </c>
      <c r="G28" t="s">
        <v>4</v>
      </c>
      <c r="H28" t="s">
        <v>133</v>
      </c>
      <c r="I28" t="s">
        <v>104</v>
      </c>
      <c r="K28">
        <v>24</v>
      </c>
      <c r="L28" t="s">
        <v>106</v>
      </c>
      <c r="M28" t="s">
        <v>48</v>
      </c>
      <c r="N28" t="s">
        <v>49</v>
      </c>
      <c r="O28" t="s">
        <v>50</v>
      </c>
      <c r="P28">
        <v>4</v>
      </c>
    </row>
    <row r="29" spans="1:16" x14ac:dyDescent="0.3">
      <c r="A29" t="s">
        <v>25</v>
      </c>
      <c r="B29" s="6">
        <v>45383</v>
      </c>
      <c r="C29" s="7">
        <v>0.93541666666666667</v>
      </c>
      <c r="D29" t="s">
        <v>134</v>
      </c>
      <c r="E29" t="s">
        <v>108</v>
      </c>
      <c r="F29">
        <v>4</v>
      </c>
      <c r="G29" t="s">
        <v>7</v>
      </c>
      <c r="H29" t="s">
        <v>135</v>
      </c>
      <c r="I29" t="s">
        <v>104</v>
      </c>
      <c r="K29">
        <v>30</v>
      </c>
      <c r="L29" t="s">
        <v>102</v>
      </c>
      <c r="M29" t="s">
        <v>48</v>
      </c>
      <c r="N29" t="s">
        <v>49</v>
      </c>
      <c r="O29" t="s">
        <v>50</v>
      </c>
      <c r="P29">
        <v>4</v>
      </c>
    </row>
    <row r="30" spans="1:16" x14ac:dyDescent="0.3">
      <c r="A30" t="s">
        <v>33</v>
      </c>
      <c r="B30" s="6">
        <v>45017</v>
      </c>
      <c r="C30" s="7">
        <v>5.0694444444444445E-2</v>
      </c>
      <c r="D30" t="s">
        <v>136</v>
      </c>
      <c r="E30" t="s">
        <v>108</v>
      </c>
      <c r="F30">
        <v>60</v>
      </c>
      <c r="G30" t="s">
        <v>7</v>
      </c>
      <c r="H30" t="s">
        <v>131</v>
      </c>
      <c r="I30" t="s">
        <v>101</v>
      </c>
      <c r="J30">
        <v>1</v>
      </c>
      <c r="K30">
        <v>35</v>
      </c>
      <c r="L30" t="s">
        <v>102</v>
      </c>
      <c r="M30" t="s">
        <v>47</v>
      </c>
      <c r="N30" t="s">
        <v>49</v>
      </c>
      <c r="O30" t="s">
        <v>50</v>
      </c>
      <c r="P30">
        <v>4</v>
      </c>
    </row>
    <row r="31" spans="1:16" x14ac:dyDescent="0.3">
      <c r="A31" t="s">
        <v>14</v>
      </c>
      <c r="B31" s="6">
        <v>45017</v>
      </c>
      <c r="C31" s="7">
        <v>0.55902777777777779</v>
      </c>
      <c r="D31" t="s">
        <v>137</v>
      </c>
      <c r="E31" t="s">
        <v>108</v>
      </c>
      <c r="F31">
        <v>31</v>
      </c>
      <c r="G31" t="s">
        <v>8</v>
      </c>
      <c r="H31" t="s">
        <v>122</v>
      </c>
      <c r="I31" t="s">
        <v>104</v>
      </c>
      <c r="J31">
        <v>0</v>
      </c>
      <c r="K31">
        <v>56</v>
      </c>
      <c r="L31" t="s">
        <v>102</v>
      </c>
      <c r="M31" t="s">
        <v>47</v>
      </c>
      <c r="N31" t="s">
        <v>49</v>
      </c>
      <c r="O31" t="s">
        <v>50</v>
      </c>
      <c r="P31">
        <v>4</v>
      </c>
    </row>
    <row r="32" spans="1:16" x14ac:dyDescent="0.3">
      <c r="A32" t="s">
        <v>13</v>
      </c>
      <c r="B32" s="6">
        <v>45017</v>
      </c>
      <c r="C32" s="7">
        <v>0.56319444444444444</v>
      </c>
      <c r="D32" t="s">
        <v>138</v>
      </c>
      <c r="E32" t="s">
        <v>99</v>
      </c>
      <c r="F32">
        <v>26</v>
      </c>
      <c r="G32" t="s">
        <v>4</v>
      </c>
      <c r="H32" t="s">
        <v>100</v>
      </c>
      <c r="I32" t="s">
        <v>104</v>
      </c>
      <c r="J32">
        <v>8</v>
      </c>
      <c r="K32">
        <v>44</v>
      </c>
      <c r="L32" t="s">
        <v>102</v>
      </c>
      <c r="M32" t="s">
        <v>47</v>
      </c>
      <c r="N32" t="s">
        <v>49</v>
      </c>
      <c r="O32" t="s">
        <v>50</v>
      </c>
      <c r="P32">
        <v>4</v>
      </c>
    </row>
    <row r="33" spans="1:16" x14ac:dyDescent="0.3">
      <c r="A33" t="s">
        <v>32</v>
      </c>
      <c r="B33" s="6">
        <v>45017</v>
      </c>
      <c r="C33" s="7">
        <v>5.6250000000000001E-2</v>
      </c>
      <c r="D33" t="s">
        <v>139</v>
      </c>
      <c r="E33" t="s">
        <v>108</v>
      </c>
      <c r="F33">
        <v>18</v>
      </c>
      <c r="G33" t="s">
        <v>7</v>
      </c>
      <c r="H33" t="s">
        <v>100</v>
      </c>
      <c r="I33" t="s">
        <v>101</v>
      </c>
      <c r="J33">
        <v>3</v>
      </c>
      <c r="K33">
        <v>40</v>
      </c>
      <c r="L33" t="s">
        <v>102</v>
      </c>
      <c r="M33" t="s">
        <v>47</v>
      </c>
      <c r="N33" t="s">
        <v>49</v>
      </c>
      <c r="O33" t="s">
        <v>50</v>
      </c>
      <c r="P33">
        <v>4</v>
      </c>
    </row>
    <row r="34" spans="1:16" x14ac:dyDescent="0.3">
      <c r="A34" t="s">
        <v>31</v>
      </c>
      <c r="B34" s="6">
        <v>45017</v>
      </c>
      <c r="C34" s="7">
        <v>0.58888888888888891</v>
      </c>
      <c r="D34" t="s">
        <v>140</v>
      </c>
      <c r="E34" t="s">
        <v>108</v>
      </c>
      <c r="F34">
        <v>53</v>
      </c>
      <c r="G34" t="s">
        <v>2</v>
      </c>
      <c r="H34" t="s">
        <v>100</v>
      </c>
      <c r="I34" t="s">
        <v>101</v>
      </c>
      <c r="J34">
        <v>7</v>
      </c>
      <c r="K34">
        <v>46</v>
      </c>
      <c r="L34" t="s">
        <v>102</v>
      </c>
      <c r="M34" t="s">
        <v>47</v>
      </c>
      <c r="N34" t="s">
        <v>49</v>
      </c>
      <c r="O34" t="s">
        <v>50</v>
      </c>
      <c r="P3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9EDCD-70F3-4880-A1E7-CF9D753F74BE}">
  <dimension ref="A3:P115"/>
  <sheetViews>
    <sheetView topLeftCell="J1" zoomScale="121" workbookViewId="0">
      <selection activeCell="M10" sqref="M10"/>
    </sheetView>
  </sheetViews>
  <sheetFormatPr defaultRowHeight="14.4" x14ac:dyDescent="0.3"/>
  <cols>
    <col min="1" max="1" width="12.44140625" bestFit="1" customWidth="1"/>
    <col min="2" max="2" width="23.77734375" bestFit="1" customWidth="1"/>
    <col min="3" max="3" width="29" bestFit="1" customWidth="1"/>
    <col min="4" max="4" width="12.44140625" bestFit="1" customWidth="1"/>
    <col min="5" max="5" width="16.5546875" bestFit="1" customWidth="1"/>
    <col min="6" max="6" width="15.33203125" bestFit="1" customWidth="1"/>
    <col min="7" max="7" width="12.44140625" bestFit="1" customWidth="1"/>
    <col min="8" max="8" width="16.5546875" bestFit="1" customWidth="1"/>
    <col min="9" max="9" width="21.5546875" bestFit="1" customWidth="1"/>
    <col min="10" max="10" width="12.44140625" bestFit="1" customWidth="1"/>
    <col min="11" max="11" width="32.109375" bestFit="1" customWidth="1"/>
    <col min="12" max="12" width="5.6640625" bestFit="1" customWidth="1"/>
    <col min="13" max="13" width="12.44140625" bestFit="1" customWidth="1"/>
    <col min="14" max="14" width="16.5546875" bestFit="1" customWidth="1"/>
    <col min="15" max="15" width="15.5546875" bestFit="1" customWidth="1"/>
    <col min="16" max="16" width="24" customWidth="1"/>
    <col min="17" max="734" width="15.5546875" bestFit="1" customWidth="1"/>
    <col min="735" max="735" width="10.5546875" bestFit="1" customWidth="1"/>
  </cols>
  <sheetData>
    <row r="3" spans="1:16" x14ac:dyDescent="0.3">
      <c r="A3" t="s">
        <v>42</v>
      </c>
      <c r="D3" t="s">
        <v>42</v>
      </c>
    </row>
    <row r="4" spans="1:16" x14ac:dyDescent="0.3">
      <c r="A4" t="s">
        <v>41</v>
      </c>
      <c r="D4" s="1" t="s">
        <v>0</v>
      </c>
      <c r="E4" t="s">
        <v>41</v>
      </c>
      <c r="G4" s="1" t="s">
        <v>0</v>
      </c>
      <c r="H4" t="s">
        <v>43</v>
      </c>
      <c r="J4" s="1" t="s">
        <v>0</v>
      </c>
      <c r="K4" t="s">
        <v>45</v>
      </c>
      <c r="M4" s="10" t="s">
        <v>146</v>
      </c>
      <c r="N4" s="10" t="s">
        <v>145</v>
      </c>
      <c r="O4" s="10" t="s">
        <v>144</v>
      </c>
      <c r="P4" s="11"/>
    </row>
    <row r="5" spans="1:16" x14ac:dyDescent="0.3">
      <c r="A5" s="3">
        <v>519</v>
      </c>
      <c r="D5" s="2" t="s">
        <v>51</v>
      </c>
      <c r="E5" s="3">
        <v>14</v>
      </c>
      <c r="G5" s="2" t="s">
        <v>51</v>
      </c>
      <c r="H5" s="4">
        <v>35.642857142857146</v>
      </c>
      <c r="J5" s="2" t="s">
        <v>51</v>
      </c>
      <c r="K5" s="4">
        <v>7.4</v>
      </c>
      <c r="M5" s="12" t="str">
        <f>A29</f>
        <v>Admitted</v>
      </c>
      <c r="N5" s="12">
        <f>B29</f>
        <v>266</v>
      </c>
      <c r="O5" s="13">
        <f>C29</f>
        <v>0.51252408477842004</v>
      </c>
      <c r="P5" s="11"/>
    </row>
    <row r="6" spans="1:16" x14ac:dyDescent="0.3">
      <c r="D6" s="2" t="s">
        <v>52</v>
      </c>
      <c r="E6" s="3">
        <v>21</v>
      </c>
      <c r="G6" s="2" t="s">
        <v>52</v>
      </c>
      <c r="H6" s="4">
        <v>27</v>
      </c>
      <c r="J6" s="2" t="s">
        <v>52</v>
      </c>
      <c r="K6" s="4">
        <v>5.6</v>
      </c>
      <c r="M6" s="12" t="str">
        <f>A30</f>
        <v>Not Admitted</v>
      </c>
      <c r="N6" s="12">
        <f>B30</f>
        <v>253</v>
      </c>
      <c r="O6" s="13">
        <f>C30</f>
        <v>0.48747591522157996</v>
      </c>
      <c r="P6" s="11"/>
    </row>
    <row r="7" spans="1:16" x14ac:dyDescent="0.3">
      <c r="D7" s="2" t="s">
        <v>53</v>
      </c>
      <c r="E7" s="3">
        <v>21</v>
      </c>
      <c r="G7" s="2" t="s">
        <v>53</v>
      </c>
      <c r="H7" s="4">
        <v>36.047619047619051</v>
      </c>
      <c r="J7" s="2" t="s">
        <v>53</v>
      </c>
      <c r="K7" s="4">
        <v>6.7142857142857144</v>
      </c>
    </row>
    <row r="8" spans="1:16" x14ac:dyDescent="0.3">
      <c r="D8" s="2" t="s">
        <v>54</v>
      </c>
      <c r="E8" s="3">
        <v>15</v>
      </c>
      <c r="G8" s="2" t="s">
        <v>54</v>
      </c>
      <c r="H8" s="4">
        <v>38.866666666666667</v>
      </c>
      <c r="J8" s="2" t="s">
        <v>54</v>
      </c>
      <c r="K8" s="4">
        <v>6</v>
      </c>
      <c r="M8" t="s">
        <v>46</v>
      </c>
    </row>
    <row r="9" spans="1:16" x14ac:dyDescent="0.3">
      <c r="A9" t="s">
        <v>44</v>
      </c>
      <c r="D9" s="2" t="s">
        <v>55</v>
      </c>
      <c r="E9" s="3">
        <v>11</v>
      </c>
      <c r="G9" s="2" t="s">
        <v>55</v>
      </c>
      <c r="H9" s="4">
        <v>35.909090909090907</v>
      </c>
      <c r="J9" s="2" t="s">
        <v>55</v>
      </c>
      <c r="K9" s="4">
        <v>4</v>
      </c>
      <c r="M9" s="1" t="s">
        <v>0</v>
      </c>
    </row>
    <row r="10" spans="1:16" x14ac:dyDescent="0.3">
      <c r="A10" t="s">
        <v>43</v>
      </c>
      <c r="D10" s="2" t="s">
        <v>56</v>
      </c>
      <c r="E10" s="3">
        <v>17</v>
      </c>
      <c r="G10" s="2" t="s">
        <v>56</v>
      </c>
      <c r="H10" s="4">
        <v>38.470588235294116</v>
      </c>
      <c r="J10" s="2" t="s">
        <v>56</v>
      </c>
      <c r="K10" s="4">
        <v>4.7142857142857144</v>
      </c>
      <c r="M10" s="2" t="s">
        <v>48</v>
      </c>
    </row>
    <row r="11" spans="1:16" x14ac:dyDescent="0.3">
      <c r="A11" s="4">
        <v>35.809248554913296</v>
      </c>
      <c r="D11" s="2" t="s">
        <v>57</v>
      </c>
      <c r="E11" s="3">
        <v>15</v>
      </c>
      <c r="G11" s="2" t="s">
        <v>57</v>
      </c>
      <c r="H11" s="4">
        <v>36.733333333333334</v>
      </c>
      <c r="J11" s="2" t="s">
        <v>57</v>
      </c>
      <c r="K11" s="4">
        <v>1.8</v>
      </c>
      <c r="M11" s="2" t="s">
        <v>1</v>
      </c>
    </row>
    <row r="12" spans="1:16" x14ac:dyDescent="0.3">
      <c r="D12" s="2" t="s">
        <v>58</v>
      </c>
      <c r="E12" s="3">
        <v>17</v>
      </c>
      <c r="G12" s="2" t="s">
        <v>58</v>
      </c>
      <c r="H12" s="4">
        <v>34.588235294117645</v>
      </c>
      <c r="J12" s="2" t="s">
        <v>58</v>
      </c>
      <c r="K12" s="4">
        <v>4.833333333333333</v>
      </c>
    </row>
    <row r="13" spans="1:16" x14ac:dyDescent="0.3">
      <c r="A13" t="s">
        <v>46</v>
      </c>
      <c r="D13" s="2" t="s">
        <v>59</v>
      </c>
      <c r="E13" s="3">
        <v>13</v>
      </c>
      <c r="G13" s="2" t="s">
        <v>59</v>
      </c>
      <c r="H13" s="4">
        <v>37.53846153846154</v>
      </c>
      <c r="J13" s="2" t="s">
        <v>59</v>
      </c>
      <c r="K13" s="4">
        <v>4.25</v>
      </c>
    </row>
    <row r="14" spans="1:16" x14ac:dyDescent="0.3">
      <c r="A14" t="s">
        <v>45</v>
      </c>
      <c r="D14" s="2" t="s">
        <v>60</v>
      </c>
      <c r="E14" s="3">
        <v>24</v>
      </c>
      <c r="G14" s="2" t="s">
        <v>60</v>
      </c>
      <c r="H14" s="4">
        <v>31.708333333333332</v>
      </c>
      <c r="J14" s="2" t="s">
        <v>60</v>
      </c>
      <c r="K14" s="4">
        <v>4.5999999999999996</v>
      </c>
    </row>
    <row r="15" spans="1:16" x14ac:dyDescent="0.3">
      <c r="A15" s="4">
        <v>5.1455696202531644</v>
      </c>
      <c r="D15" s="2" t="s">
        <v>61</v>
      </c>
      <c r="E15" s="3">
        <v>13</v>
      </c>
      <c r="G15" s="2" t="s">
        <v>61</v>
      </c>
      <c r="H15" s="4">
        <v>28.923076923076923</v>
      </c>
      <c r="J15" s="2" t="s">
        <v>61</v>
      </c>
      <c r="K15" s="4">
        <v>6.5</v>
      </c>
    </row>
    <row r="16" spans="1:16" x14ac:dyDescent="0.3">
      <c r="D16" s="2" t="s">
        <v>62</v>
      </c>
      <c r="E16" s="3">
        <v>14</v>
      </c>
      <c r="G16" s="2" t="s">
        <v>62</v>
      </c>
      <c r="H16" s="4">
        <v>42.071428571428569</v>
      </c>
      <c r="J16" s="2" t="s">
        <v>62</v>
      </c>
      <c r="K16" s="4">
        <v>5</v>
      </c>
    </row>
    <row r="17" spans="1:11" x14ac:dyDescent="0.3">
      <c r="D17" s="2" t="s">
        <v>63</v>
      </c>
      <c r="E17" s="3">
        <v>12</v>
      </c>
      <c r="G17" s="2" t="s">
        <v>63</v>
      </c>
      <c r="H17" s="4">
        <v>35.833333333333336</v>
      </c>
      <c r="J17" s="2" t="s">
        <v>63</v>
      </c>
      <c r="K17" s="4">
        <v>6</v>
      </c>
    </row>
    <row r="18" spans="1:11" x14ac:dyDescent="0.3">
      <c r="D18" s="2" t="s">
        <v>64</v>
      </c>
      <c r="E18" s="3">
        <v>11</v>
      </c>
      <c r="G18" s="2" t="s">
        <v>64</v>
      </c>
      <c r="H18" s="4">
        <v>28.727272727272727</v>
      </c>
      <c r="J18" s="2" t="s">
        <v>64</v>
      </c>
      <c r="K18" s="4">
        <v>4.7142857142857144</v>
      </c>
    </row>
    <row r="19" spans="1:11" x14ac:dyDescent="0.3">
      <c r="D19" s="2" t="s">
        <v>65</v>
      </c>
      <c r="E19" s="3">
        <v>16</v>
      </c>
      <c r="G19" s="2" t="s">
        <v>65</v>
      </c>
      <c r="H19" s="4">
        <v>35.75</v>
      </c>
      <c r="J19" s="2" t="s">
        <v>65</v>
      </c>
      <c r="K19" s="4">
        <v>4.2</v>
      </c>
    </row>
    <row r="20" spans="1:11" x14ac:dyDescent="0.3">
      <c r="D20" s="2" t="s">
        <v>66</v>
      </c>
      <c r="E20" s="3">
        <v>20</v>
      </c>
      <c r="G20" s="2" t="s">
        <v>66</v>
      </c>
      <c r="H20" s="4">
        <v>34.75</v>
      </c>
      <c r="J20" s="2" t="s">
        <v>66</v>
      </c>
      <c r="K20" s="4">
        <v>7.2</v>
      </c>
    </row>
    <row r="21" spans="1:11" x14ac:dyDescent="0.3">
      <c r="D21" s="2" t="s">
        <v>67</v>
      </c>
      <c r="E21" s="3">
        <v>15</v>
      </c>
      <c r="G21" s="2" t="s">
        <v>67</v>
      </c>
      <c r="H21" s="4">
        <v>37.666666666666664</v>
      </c>
      <c r="J21" s="2" t="s">
        <v>67</v>
      </c>
      <c r="K21" s="4">
        <v>4.333333333333333</v>
      </c>
    </row>
    <row r="22" spans="1:11" x14ac:dyDescent="0.3">
      <c r="D22" s="2" t="s">
        <v>68</v>
      </c>
      <c r="E22" s="3">
        <v>19</v>
      </c>
      <c r="G22" s="2" t="s">
        <v>68</v>
      </c>
      <c r="H22" s="4">
        <v>40.421052631578945</v>
      </c>
      <c r="J22" s="2" t="s">
        <v>68</v>
      </c>
      <c r="K22" s="4">
        <v>3.7777777777777777</v>
      </c>
    </row>
    <row r="23" spans="1:11" x14ac:dyDescent="0.3">
      <c r="D23" s="2" t="s">
        <v>69</v>
      </c>
      <c r="E23" s="3">
        <v>16</v>
      </c>
      <c r="G23" s="2" t="s">
        <v>69</v>
      </c>
      <c r="H23" s="4">
        <v>33.75</v>
      </c>
      <c r="J23" s="2" t="s">
        <v>69</v>
      </c>
      <c r="K23" s="4">
        <v>3.6666666666666665</v>
      </c>
    </row>
    <row r="24" spans="1:11" x14ac:dyDescent="0.3">
      <c r="D24" s="2" t="s">
        <v>70</v>
      </c>
      <c r="E24" s="3">
        <v>17</v>
      </c>
      <c r="G24" s="2" t="s">
        <v>70</v>
      </c>
      <c r="H24" s="4">
        <v>32.764705882352942</v>
      </c>
      <c r="J24" s="2" t="s">
        <v>70</v>
      </c>
      <c r="K24" s="4">
        <v>4</v>
      </c>
    </row>
    <row r="25" spans="1:11" x14ac:dyDescent="0.3">
      <c r="D25" s="2" t="s">
        <v>71</v>
      </c>
      <c r="E25" s="3">
        <v>28</v>
      </c>
      <c r="G25" s="2" t="s">
        <v>71</v>
      </c>
      <c r="H25" s="4">
        <v>37.357142857142854</v>
      </c>
      <c r="J25" s="2" t="s">
        <v>71</v>
      </c>
      <c r="K25" s="4">
        <v>5.833333333333333</v>
      </c>
    </row>
    <row r="26" spans="1:11" x14ac:dyDescent="0.3">
      <c r="D26" s="2" t="s">
        <v>72</v>
      </c>
      <c r="E26" s="3">
        <v>22</v>
      </c>
      <c r="G26" s="2" t="s">
        <v>72</v>
      </c>
      <c r="H26" s="4">
        <v>37.227272727272727</v>
      </c>
      <c r="J26" s="2" t="s">
        <v>72</v>
      </c>
      <c r="K26" s="4">
        <v>5.666666666666667</v>
      </c>
    </row>
    <row r="27" spans="1:11" x14ac:dyDescent="0.3">
      <c r="A27" t="s">
        <v>46</v>
      </c>
      <c r="D27" s="2" t="s">
        <v>73</v>
      </c>
      <c r="E27" s="3">
        <v>20</v>
      </c>
      <c r="G27" s="2" t="s">
        <v>73</v>
      </c>
      <c r="H27" s="4">
        <v>36.700000000000003</v>
      </c>
      <c r="J27" s="2" t="s">
        <v>73</v>
      </c>
      <c r="K27" s="4">
        <v>5.5</v>
      </c>
    </row>
    <row r="28" spans="1:11" x14ac:dyDescent="0.3">
      <c r="A28" s="1" t="s">
        <v>0</v>
      </c>
      <c r="B28" t="s">
        <v>142</v>
      </c>
      <c r="C28" t="s">
        <v>143</v>
      </c>
      <c r="D28" s="2" t="s">
        <v>74</v>
      </c>
      <c r="E28" s="3">
        <v>17</v>
      </c>
      <c r="G28" s="2" t="s">
        <v>74</v>
      </c>
      <c r="H28" s="4">
        <v>43.058823529411768</v>
      </c>
      <c r="J28" s="2" t="s">
        <v>74</v>
      </c>
      <c r="K28" s="4">
        <v>5.5</v>
      </c>
    </row>
    <row r="29" spans="1:11" x14ac:dyDescent="0.3">
      <c r="A29" s="2" t="s">
        <v>101</v>
      </c>
      <c r="B29" s="4">
        <v>266</v>
      </c>
      <c r="C29" s="9">
        <v>0.51252408477842004</v>
      </c>
      <c r="D29" s="2" t="s">
        <v>75</v>
      </c>
      <c r="E29" s="3">
        <v>18</v>
      </c>
      <c r="G29" s="2" t="s">
        <v>75</v>
      </c>
      <c r="H29" s="4">
        <v>39.777777777777779</v>
      </c>
      <c r="J29" s="2" t="s">
        <v>75</v>
      </c>
      <c r="K29" s="4">
        <v>7</v>
      </c>
    </row>
    <row r="30" spans="1:11" x14ac:dyDescent="0.3">
      <c r="A30" s="2" t="s">
        <v>104</v>
      </c>
      <c r="B30" s="4">
        <v>253</v>
      </c>
      <c r="C30" s="9">
        <v>0.48747591522157996</v>
      </c>
      <c r="D30" s="2" t="s">
        <v>76</v>
      </c>
      <c r="E30" s="3">
        <v>13</v>
      </c>
      <c r="G30" s="2" t="s">
        <v>76</v>
      </c>
      <c r="H30" s="4">
        <v>40.692307692307693</v>
      </c>
      <c r="J30" s="2" t="s">
        <v>76</v>
      </c>
      <c r="K30" s="4">
        <v>7</v>
      </c>
    </row>
    <row r="31" spans="1:11" x14ac:dyDescent="0.3">
      <c r="A31" s="2" t="s">
        <v>1</v>
      </c>
      <c r="B31" s="4">
        <v>519</v>
      </c>
      <c r="C31" s="9">
        <v>1</v>
      </c>
      <c r="D31" s="2" t="s">
        <v>77</v>
      </c>
      <c r="E31" s="3">
        <v>13</v>
      </c>
      <c r="G31" s="2" t="s">
        <v>77</v>
      </c>
      <c r="H31" s="4">
        <v>34.46153846153846</v>
      </c>
      <c r="J31" s="2" t="s">
        <v>77</v>
      </c>
      <c r="K31" s="4">
        <v>4</v>
      </c>
    </row>
    <row r="32" spans="1:11" x14ac:dyDescent="0.3">
      <c r="D32" s="2" t="s">
        <v>78</v>
      </c>
      <c r="E32" s="3">
        <v>13</v>
      </c>
      <c r="G32" s="2" t="s">
        <v>78</v>
      </c>
      <c r="H32" s="4">
        <v>30.307692307692307</v>
      </c>
      <c r="J32" s="2" t="s">
        <v>78</v>
      </c>
      <c r="K32" s="4">
        <v>4.4444444444444446</v>
      </c>
    </row>
    <row r="33" spans="1:11" x14ac:dyDescent="0.3">
      <c r="D33" s="2" t="s">
        <v>79</v>
      </c>
      <c r="E33" s="3">
        <v>20</v>
      </c>
      <c r="G33" s="2" t="s">
        <v>79</v>
      </c>
      <c r="H33" s="4">
        <v>38.5</v>
      </c>
      <c r="J33" s="2" t="s">
        <v>79</v>
      </c>
      <c r="K33" s="4">
        <v>4.8571428571428568</v>
      </c>
    </row>
    <row r="34" spans="1:11" x14ac:dyDescent="0.3">
      <c r="A34" t="s">
        <v>46</v>
      </c>
      <c r="D34" s="2" t="s">
        <v>80</v>
      </c>
      <c r="E34" s="3">
        <v>15</v>
      </c>
      <c r="G34" s="2" t="s">
        <v>80</v>
      </c>
      <c r="H34" s="4">
        <v>35.333333333333336</v>
      </c>
      <c r="J34" s="2" t="s">
        <v>80</v>
      </c>
      <c r="K34" s="4">
        <v>5.5714285714285712</v>
      </c>
    </row>
    <row r="35" spans="1:11" x14ac:dyDescent="0.3">
      <c r="A35" s="1" t="s">
        <v>0</v>
      </c>
      <c r="B35" t="s">
        <v>41</v>
      </c>
      <c r="D35" s="2" t="s">
        <v>81</v>
      </c>
      <c r="E35" s="3">
        <v>19</v>
      </c>
      <c r="G35" s="2" t="s">
        <v>81</v>
      </c>
      <c r="H35" s="4">
        <v>32.421052631578945</v>
      </c>
      <c r="J35" s="2" t="s">
        <v>81</v>
      </c>
      <c r="K35" s="4">
        <v>6</v>
      </c>
    </row>
    <row r="36" spans="1:11" x14ac:dyDescent="0.3">
      <c r="A36" s="2">
        <v>1</v>
      </c>
      <c r="B36" s="4">
        <v>10</v>
      </c>
      <c r="D36" s="2" t="s">
        <v>1</v>
      </c>
      <c r="E36" s="3">
        <v>519</v>
      </c>
      <c r="G36" s="2" t="s">
        <v>1</v>
      </c>
      <c r="H36" s="4">
        <v>35.809248554913296</v>
      </c>
      <c r="J36" s="2" t="s">
        <v>1</v>
      </c>
      <c r="K36" s="4">
        <v>5.1455696202531644</v>
      </c>
    </row>
    <row r="37" spans="1:11" x14ac:dyDescent="0.3">
      <c r="A37" s="2">
        <v>2</v>
      </c>
      <c r="B37" s="4">
        <v>11</v>
      </c>
    </row>
    <row r="38" spans="1:11" x14ac:dyDescent="0.3">
      <c r="A38" s="2">
        <v>3</v>
      </c>
      <c r="B38" s="4">
        <v>9</v>
      </c>
    </row>
    <row r="39" spans="1:11" x14ac:dyDescent="0.3">
      <c r="A39" s="2">
        <v>4</v>
      </c>
      <c r="B39" s="4">
        <v>4</v>
      </c>
      <c r="D39" t="s">
        <v>46</v>
      </c>
      <c r="G39" t="s">
        <v>46</v>
      </c>
    </row>
    <row r="40" spans="1:11" x14ac:dyDescent="0.3">
      <c r="A40" s="2">
        <v>5</v>
      </c>
      <c r="B40" s="4">
        <v>5</v>
      </c>
      <c r="D40" s="1" t="s">
        <v>0</v>
      </c>
      <c r="E40" t="s">
        <v>40</v>
      </c>
      <c r="G40" s="1" t="s">
        <v>0</v>
      </c>
      <c r="H40" t="s">
        <v>40</v>
      </c>
    </row>
    <row r="41" spans="1:11" x14ac:dyDescent="0.3">
      <c r="A41" s="2">
        <v>6</v>
      </c>
      <c r="B41" s="4">
        <v>8</v>
      </c>
      <c r="D41" s="2" t="s">
        <v>148</v>
      </c>
      <c r="E41" s="4">
        <v>3</v>
      </c>
      <c r="G41" s="2" t="s">
        <v>99</v>
      </c>
      <c r="H41" s="14">
        <v>254</v>
      </c>
    </row>
    <row r="42" spans="1:11" x14ac:dyDescent="0.3">
      <c r="A42" s="2">
        <v>7</v>
      </c>
      <c r="B42" s="4">
        <v>7</v>
      </c>
      <c r="D42" s="2" t="s">
        <v>135</v>
      </c>
      <c r="E42" s="4">
        <v>8</v>
      </c>
      <c r="G42" s="2" t="s">
        <v>108</v>
      </c>
      <c r="H42" s="14">
        <v>265</v>
      </c>
    </row>
    <row r="43" spans="1:11" x14ac:dyDescent="0.3">
      <c r="A43" s="2">
        <v>8</v>
      </c>
      <c r="B43" s="4">
        <v>8</v>
      </c>
      <c r="D43" s="2" t="s">
        <v>131</v>
      </c>
      <c r="E43" s="4">
        <v>11</v>
      </c>
      <c r="G43" s="2" t="s">
        <v>1</v>
      </c>
      <c r="H43" s="14">
        <v>519</v>
      </c>
    </row>
    <row r="44" spans="1:11" x14ac:dyDescent="0.3">
      <c r="A44" s="2">
        <v>9</v>
      </c>
      <c r="B44" s="4">
        <v>4</v>
      </c>
      <c r="D44" s="2" t="s">
        <v>147</v>
      </c>
      <c r="E44" s="4">
        <v>15</v>
      </c>
    </row>
    <row r="45" spans="1:11" x14ac:dyDescent="0.3">
      <c r="A45" s="2">
        <v>10</v>
      </c>
      <c r="B45" s="4">
        <v>7</v>
      </c>
      <c r="D45" s="2" t="s">
        <v>133</v>
      </c>
      <c r="E45" s="4">
        <v>16</v>
      </c>
      <c r="G45" t="s">
        <v>46</v>
      </c>
    </row>
    <row r="46" spans="1:11" x14ac:dyDescent="0.3">
      <c r="A46" s="2">
        <v>11</v>
      </c>
      <c r="B46" s="4">
        <v>7</v>
      </c>
      <c r="D46" s="2" t="s">
        <v>127</v>
      </c>
      <c r="E46" s="4">
        <v>51</v>
      </c>
      <c r="G46" s="1" t="s">
        <v>0</v>
      </c>
      <c r="H46" t="s">
        <v>40</v>
      </c>
    </row>
    <row r="47" spans="1:11" x14ac:dyDescent="0.3">
      <c r="A47" s="2">
        <v>12</v>
      </c>
      <c r="B47" s="4">
        <v>3</v>
      </c>
      <c r="D47" s="2" t="s">
        <v>122</v>
      </c>
      <c r="E47" s="4">
        <v>102</v>
      </c>
      <c r="G47" s="2" t="s">
        <v>102</v>
      </c>
      <c r="H47" s="9">
        <v>0.64739884393063585</v>
      </c>
    </row>
    <row r="48" spans="1:11" x14ac:dyDescent="0.3">
      <c r="A48" s="2">
        <v>13</v>
      </c>
      <c r="B48" s="4">
        <v>4</v>
      </c>
      <c r="D48" s="2" t="s">
        <v>100</v>
      </c>
      <c r="E48" s="4">
        <v>313</v>
      </c>
      <c r="G48" s="2" t="s">
        <v>106</v>
      </c>
      <c r="H48" s="9">
        <v>0.35260115606936415</v>
      </c>
    </row>
    <row r="49" spans="1:8" x14ac:dyDescent="0.3">
      <c r="A49" s="2">
        <v>14</v>
      </c>
      <c r="B49" s="4">
        <v>9</v>
      </c>
      <c r="D49" s="2" t="s">
        <v>1</v>
      </c>
      <c r="E49" s="4">
        <v>519</v>
      </c>
      <c r="G49" s="2" t="s">
        <v>1</v>
      </c>
      <c r="H49" s="9">
        <v>1</v>
      </c>
    </row>
    <row r="50" spans="1:8" x14ac:dyDescent="0.3">
      <c r="A50" s="2">
        <v>15</v>
      </c>
      <c r="B50" s="4">
        <v>7</v>
      </c>
    </row>
    <row r="51" spans="1:8" x14ac:dyDescent="0.3">
      <c r="A51" s="2">
        <v>16</v>
      </c>
      <c r="B51" s="4">
        <v>10</v>
      </c>
      <c r="D51" t="s">
        <v>46</v>
      </c>
    </row>
    <row r="52" spans="1:8" x14ac:dyDescent="0.3">
      <c r="A52" s="2">
        <v>17</v>
      </c>
      <c r="B52" s="4">
        <v>7</v>
      </c>
      <c r="D52" s="1" t="s">
        <v>0</v>
      </c>
      <c r="E52" t="s">
        <v>40</v>
      </c>
    </row>
    <row r="53" spans="1:8" x14ac:dyDescent="0.3">
      <c r="A53" s="2">
        <v>18</v>
      </c>
      <c r="B53" s="4">
        <v>5</v>
      </c>
      <c r="D53" s="2" t="s">
        <v>149</v>
      </c>
      <c r="E53" s="14">
        <v>73</v>
      </c>
    </row>
    <row r="54" spans="1:8" x14ac:dyDescent="0.3">
      <c r="A54" s="2">
        <v>19</v>
      </c>
      <c r="B54" s="4">
        <v>4</v>
      </c>
      <c r="D54" s="2" t="s">
        <v>150</v>
      </c>
      <c r="E54" s="14">
        <v>64</v>
      </c>
    </row>
    <row r="55" spans="1:8" x14ac:dyDescent="0.3">
      <c r="A55" s="2">
        <v>20</v>
      </c>
      <c r="B55" s="4">
        <v>8</v>
      </c>
      <c r="D55" s="2" t="s">
        <v>151</v>
      </c>
      <c r="E55" s="14">
        <v>74</v>
      </c>
    </row>
    <row r="56" spans="1:8" x14ac:dyDescent="0.3">
      <c r="A56" s="2">
        <v>21</v>
      </c>
      <c r="B56" s="4">
        <v>8</v>
      </c>
      <c r="D56" s="2" t="s">
        <v>152</v>
      </c>
      <c r="E56" s="14">
        <v>71</v>
      </c>
    </row>
    <row r="57" spans="1:8" x14ac:dyDescent="0.3">
      <c r="A57" s="2">
        <v>22</v>
      </c>
      <c r="B57" s="4">
        <v>9</v>
      </c>
      <c r="D57" s="2" t="s">
        <v>153</v>
      </c>
      <c r="E57" s="14">
        <v>58</v>
      </c>
    </row>
    <row r="58" spans="1:8" x14ac:dyDescent="0.3">
      <c r="A58" s="2">
        <v>23</v>
      </c>
      <c r="B58" s="4">
        <v>9</v>
      </c>
      <c r="D58" s="2" t="s">
        <v>154</v>
      </c>
      <c r="E58" s="14">
        <v>68</v>
      </c>
    </row>
    <row r="59" spans="1:8" x14ac:dyDescent="0.3">
      <c r="A59" s="2">
        <v>24</v>
      </c>
      <c r="B59" s="4">
        <v>6</v>
      </c>
      <c r="D59" s="2" t="s">
        <v>155</v>
      </c>
      <c r="E59" s="14">
        <v>62</v>
      </c>
    </row>
    <row r="60" spans="1:8" x14ac:dyDescent="0.3">
      <c r="A60" s="2">
        <v>25</v>
      </c>
      <c r="B60" s="4">
        <v>4</v>
      </c>
      <c r="D60" s="2" t="s">
        <v>156</v>
      </c>
      <c r="E60" s="14">
        <v>49</v>
      </c>
    </row>
    <row r="61" spans="1:8" x14ac:dyDescent="0.3">
      <c r="A61" s="2">
        <v>26</v>
      </c>
      <c r="B61" s="4">
        <v>7</v>
      </c>
      <c r="D61" s="2" t="s">
        <v>1</v>
      </c>
      <c r="E61" s="14">
        <v>519</v>
      </c>
    </row>
    <row r="62" spans="1:8" x14ac:dyDescent="0.3">
      <c r="A62" s="2">
        <v>27</v>
      </c>
      <c r="B62" s="4">
        <v>10</v>
      </c>
    </row>
    <row r="63" spans="1:8" x14ac:dyDescent="0.3">
      <c r="A63" s="2">
        <v>28</v>
      </c>
      <c r="B63" s="4">
        <v>4</v>
      </c>
    </row>
    <row r="64" spans="1:8" x14ac:dyDescent="0.3">
      <c r="A64" s="2">
        <v>29</v>
      </c>
      <c r="B64" s="4">
        <v>7</v>
      </c>
    </row>
    <row r="65" spans="1:2" x14ac:dyDescent="0.3">
      <c r="A65" s="2">
        <v>30</v>
      </c>
      <c r="B65" s="4">
        <v>10</v>
      </c>
    </row>
    <row r="66" spans="1:2" x14ac:dyDescent="0.3">
      <c r="A66" s="2">
        <v>31</v>
      </c>
      <c r="B66" s="4">
        <v>3</v>
      </c>
    </row>
    <row r="67" spans="1:2" x14ac:dyDescent="0.3">
      <c r="A67" s="2">
        <v>32</v>
      </c>
      <c r="B67" s="4">
        <v>12</v>
      </c>
    </row>
    <row r="68" spans="1:2" x14ac:dyDescent="0.3">
      <c r="A68" s="2">
        <v>33</v>
      </c>
      <c r="B68" s="4">
        <v>9</v>
      </c>
    </row>
    <row r="69" spans="1:2" x14ac:dyDescent="0.3">
      <c r="A69" s="2">
        <v>34</v>
      </c>
      <c r="B69" s="4">
        <v>3</v>
      </c>
    </row>
    <row r="70" spans="1:2" x14ac:dyDescent="0.3">
      <c r="A70" s="2">
        <v>35</v>
      </c>
      <c r="B70" s="4">
        <v>3</v>
      </c>
    </row>
    <row r="71" spans="1:2" x14ac:dyDescent="0.3">
      <c r="A71" s="2">
        <v>36</v>
      </c>
      <c r="B71" s="4">
        <v>4</v>
      </c>
    </row>
    <row r="72" spans="1:2" x14ac:dyDescent="0.3">
      <c r="A72" s="2">
        <v>37</v>
      </c>
      <c r="B72" s="4">
        <v>8</v>
      </c>
    </row>
    <row r="73" spans="1:2" x14ac:dyDescent="0.3">
      <c r="A73" s="2">
        <v>38</v>
      </c>
      <c r="B73" s="4">
        <v>9</v>
      </c>
    </row>
    <row r="74" spans="1:2" x14ac:dyDescent="0.3">
      <c r="A74" s="2">
        <v>39</v>
      </c>
      <c r="B74" s="4">
        <v>8</v>
      </c>
    </row>
    <row r="75" spans="1:2" x14ac:dyDescent="0.3">
      <c r="A75" s="2">
        <v>40</v>
      </c>
      <c r="B75" s="4">
        <v>12</v>
      </c>
    </row>
    <row r="76" spans="1:2" x14ac:dyDescent="0.3">
      <c r="A76" s="2">
        <v>41</v>
      </c>
      <c r="B76" s="4">
        <v>8</v>
      </c>
    </row>
    <row r="77" spans="1:2" x14ac:dyDescent="0.3">
      <c r="A77" s="2">
        <v>42</v>
      </c>
      <c r="B77" s="4">
        <v>8</v>
      </c>
    </row>
    <row r="78" spans="1:2" x14ac:dyDescent="0.3">
      <c r="A78" s="2">
        <v>43</v>
      </c>
      <c r="B78" s="4">
        <v>4</v>
      </c>
    </row>
    <row r="79" spans="1:2" x14ac:dyDescent="0.3">
      <c r="A79" s="2">
        <v>44</v>
      </c>
      <c r="B79" s="4">
        <v>6</v>
      </c>
    </row>
    <row r="80" spans="1:2" x14ac:dyDescent="0.3">
      <c r="A80" s="2">
        <v>45</v>
      </c>
      <c r="B80" s="4">
        <v>7</v>
      </c>
    </row>
    <row r="81" spans="1:2" x14ac:dyDescent="0.3">
      <c r="A81" s="2">
        <v>46</v>
      </c>
      <c r="B81" s="4">
        <v>9</v>
      </c>
    </row>
    <row r="82" spans="1:2" x14ac:dyDescent="0.3">
      <c r="A82" s="2">
        <v>47</v>
      </c>
      <c r="B82" s="4">
        <v>2</v>
      </c>
    </row>
    <row r="83" spans="1:2" x14ac:dyDescent="0.3">
      <c r="A83" s="2">
        <v>48</v>
      </c>
      <c r="B83" s="4">
        <v>3</v>
      </c>
    </row>
    <row r="84" spans="1:2" x14ac:dyDescent="0.3">
      <c r="A84" s="2">
        <v>49</v>
      </c>
      <c r="B84" s="4">
        <v>6</v>
      </c>
    </row>
    <row r="85" spans="1:2" x14ac:dyDescent="0.3">
      <c r="A85" s="2">
        <v>50</v>
      </c>
      <c r="B85" s="4">
        <v>5</v>
      </c>
    </row>
    <row r="86" spans="1:2" x14ac:dyDescent="0.3">
      <c r="A86" s="2">
        <v>51</v>
      </c>
      <c r="B86" s="4">
        <v>9</v>
      </c>
    </row>
    <row r="87" spans="1:2" x14ac:dyDescent="0.3">
      <c r="A87" s="2">
        <v>52</v>
      </c>
      <c r="B87" s="4">
        <v>1</v>
      </c>
    </row>
    <row r="88" spans="1:2" x14ac:dyDescent="0.3">
      <c r="A88" s="2">
        <v>53</v>
      </c>
      <c r="B88" s="4">
        <v>5</v>
      </c>
    </row>
    <row r="89" spans="1:2" x14ac:dyDescent="0.3">
      <c r="A89" s="2">
        <v>54</v>
      </c>
      <c r="B89" s="4">
        <v>9</v>
      </c>
    </row>
    <row r="90" spans="1:2" x14ac:dyDescent="0.3">
      <c r="A90" s="2">
        <v>55</v>
      </c>
      <c r="B90" s="4">
        <v>5</v>
      </c>
    </row>
    <row r="91" spans="1:2" x14ac:dyDescent="0.3">
      <c r="A91" s="2">
        <v>56</v>
      </c>
      <c r="B91" s="4">
        <v>12</v>
      </c>
    </row>
    <row r="92" spans="1:2" x14ac:dyDescent="0.3">
      <c r="A92" s="2">
        <v>57</v>
      </c>
      <c r="B92" s="4">
        <v>7</v>
      </c>
    </row>
    <row r="93" spans="1:2" x14ac:dyDescent="0.3">
      <c r="A93" s="2">
        <v>58</v>
      </c>
      <c r="B93" s="4">
        <v>7</v>
      </c>
    </row>
    <row r="94" spans="1:2" x14ac:dyDescent="0.3">
      <c r="A94" s="2">
        <v>59</v>
      </c>
      <c r="B94" s="4">
        <v>5</v>
      </c>
    </row>
    <row r="95" spans="1:2" x14ac:dyDescent="0.3">
      <c r="A95" s="2">
        <v>60</v>
      </c>
      <c r="B95" s="4">
        <v>8</v>
      </c>
    </row>
    <row r="96" spans="1:2" x14ac:dyDescent="0.3">
      <c r="A96" s="2">
        <v>61</v>
      </c>
      <c r="B96" s="4">
        <v>4</v>
      </c>
    </row>
    <row r="97" spans="1:2" x14ac:dyDescent="0.3">
      <c r="A97" s="2">
        <v>62</v>
      </c>
      <c r="B97" s="4">
        <v>4</v>
      </c>
    </row>
    <row r="98" spans="1:2" x14ac:dyDescent="0.3">
      <c r="A98" s="2">
        <v>63</v>
      </c>
      <c r="B98" s="4">
        <v>11</v>
      </c>
    </row>
    <row r="99" spans="1:2" x14ac:dyDescent="0.3">
      <c r="A99" s="2">
        <v>64</v>
      </c>
      <c r="B99" s="4">
        <v>5</v>
      </c>
    </row>
    <row r="100" spans="1:2" x14ac:dyDescent="0.3">
      <c r="A100" s="2">
        <v>65</v>
      </c>
      <c r="B100" s="4">
        <v>5</v>
      </c>
    </row>
    <row r="101" spans="1:2" x14ac:dyDescent="0.3">
      <c r="A101" s="2">
        <v>66</v>
      </c>
      <c r="B101" s="4">
        <v>8</v>
      </c>
    </row>
    <row r="102" spans="1:2" x14ac:dyDescent="0.3">
      <c r="A102" s="2">
        <v>67</v>
      </c>
      <c r="B102" s="4">
        <v>7</v>
      </c>
    </row>
    <row r="103" spans="1:2" x14ac:dyDescent="0.3">
      <c r="A103" s="2">
        <v>68</v>
      </c>
      <c r="B103" s="4">
        <v>4</v>
      </c>
    </row>
    <row r="104" spans="1:2" x14ac:dyDescent="0.3">
      <c r="A104" s="2">
        <v>69</v>
      </c>
      <c r="B104" s="4">
        <v>10</v>
      </c>
    </row>
    <row r="105" spans="1:2" x14ac:dyDescent="0.3">
      <c r="A105" s="2">
        <v>70</v>
      </c>
      <c r="B105" s="4">
        <v>4</v>
      </c>
    </row>
    <row r="106" spans="1:2" x14ac:dyDescent="0.3">
      <c r="A106" s="2">
        <v>71</v>
      </c>
      <c r="B106" s="4">
        <v>7</v>
      </c>
    </row>
    <row r="107" spans="1:2" x14ac:dyDescent="0.3">
      <c r="A107" s="2">
        <v>72</v>
      </c>
      <c r="B107" s="4">
        <v>9</v>
      </c>
    </row>
    <row r="108" spans="1:2" x14ac:dyDescent="0.3">
      <c r="A108" s="2">
        <v>73</v>
      </c>
      <c r="B108" s="4">
        <v>8</v>
      </c>
    </row>
    <row r="109" spans="1:2" x14ac:dyDescent="0.3">
      <c r="A109" s="2">
        <v>74</v>
      </c>
      <c r="B109" s="4">
        <v>6</v>
      </c>
    </row>
    <row r="110" spans="1:2" x14ac:dyDescent="0.3">
      <c r="A110" s="2">
        <v>75</v>
      </c>
      <c r="B110" s="4">
        <v>4</v>
      </c>
    </row>
    <row r="111" spans="1:2" x14ac:dyDescent="0.3">
      <c r="A111" s="2">
        <v>76</v>
      </c>
      <c r="B111" s="4">
        <v>5</v>
      </c>
    </row>
    <row r="112" spans="1:2" x14ac:dyDescent="0.3">
      <c r="A112" s="2">
        <v>77</v>
      </c>
      <c r="B112" s="4">
        <v>4</v>
      </c>
    </row>
    <row r="113" spans="1:2" x14ac:dyDescent="0.3">
      <c r="A113" s="2">
        <v>78</v>
      </c>
      <c r="B113" s="4">
        <v>5</v>
      </c>
    </row>
    <row r="114" spans="1:2" x14ac:dyDescent="0.3">
      <c r="A114" s="2">
        <v>79</v>
      </c>
      <c r="B114" s="4">
        <v>1</v>
      </c>
    </row>
    <row r="115" spans="1:2" x14ac:dyDescent="0.3">
      <c r="A115" s="2" t="s">
        <v>1</v>
      </c>
      <c r="B115" s="4">
        <v>519</v>
      </c>
    </row>
  </sheetData>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32C6B-4CF6-4453-B199-41B500F73E2B}">
  <dimension ref="A1:N21"/>
  <sheetViews>
    <sheetView tabSelected="1" zoomScale="134" zoomScaleNormal="92" workbookViewId="0">
      <selection activeCell="N11" sqref="N11"/>
    </sheetView>
  </sheetViews>
  <sheetFormatPr defaultRowHeight="14.4" x14ac:dyDescent="0.3"/>
  <cols>
    <col min="6" max="6" width="8.88671875" customWidth="1"/>
  </cols>
  <sheetData>
    <row r="1" spans="1:14" x14ac:dyDescent="0.3">
      <c r="A1" s="5"/>
      <c r="B1" s="5"/>
      <c r="C1" s="5"/>
      <c r="D1" s="5"/>
      <c r="E1" s="5"/>
      <c r="F1" s="5"/>
      <c r="G1" s="5"/>
      <c r="H1" s="5"/>
      <c r="I1" s="5"/>
      <c r="J1" s="5"/>
      <c r="K1" s="5"/>
      <c r="L1" s="5"/>
      <c r="M1" s="5"/>
      <c r="N1" s="5"/>
    </row>
    <row r="2" spans="1:14" x14ac:dyDescent="0.3">
      <c r="A2" s="5"/>
      <c r="B2" s="5"/>
      <c r="C2" s="5"/>
      <c r="D2" s="5"/>
      <c r="E2" s="5"/>
      <c r="F2" s="5"/>
      <c r="G2" s="5"/>
      <c r="H2" s="5"/>
      <c r="I2" s="5"/>
      <c r="J2" s="5"/>
      <c r="K2" s="5"/>
      <c r="L2" s="5"/>
      <c r="M2" s="5"/>
      <c r="N2" s="5">
        <f>GETPIVOTDATA("[Measures].[Distinct Count of Patient Id]",Sheet1!$A$4)</f>
        <v>519</v>
      </c>
    </row>
    <row r="3" spans="1:14" x14ac:dyDescent="0.3">
      <c r="A3" s="5"/>
      <c r="B3" s="5"/>
      <c r="C3" s="5"/>
      <c r="D3" s="5"/>
      <c r="E3" s="5"/>
      <c r="F3" s="5"/>
      <c r="G3" s="5"/>
      <c r="H3" s="5"/>
      <c r="I3" s="5"/>
      <c r="J3" s="5"/>
      <c r="K3" s="5"/>
      <c r="L3" s="5"/>
      <c r="M3" s="5"/>
      <c r="N3" s="5"/>
    </row>
    <row r="4" spans="1:14" x14ac:dyDescent="0.3">
      <c r="A4" s="5"/>
      <c r="B4" s="5"/>
      <c r="C4" s="5"/>
      <c r="D4" s="5"/>
      <c r="E4" s="5"/>
      <c r="F4" s="5"/>
      <c r="G4" s="5"/>
      <c r="H4" s="5"/>
      <c r="I4" s="5"/>
      <c r="J4" s="5"/>
      <c r="K4" s="5"/>
      <c r="L4" s="5"/>
      <c r="M4" s="5"/>
      <c r="N4" s="5"/>
    </row>
    <row r="5" spans="1:14" x14ac:dyDescent="0.3">
      <c r="A5" s="5"/>
      <c r="B5" s="5"/>
      <c r="C5" s="5"/>
      <c r="D5" s="5"/>
      <c r="E5" s="5"/>
      <c r="F5" s="5"/>
      <c r="G5" s="5"/>
      <c r="H5" s="5"/>
      <c r="I5" s="5"/>
      <c r="J5" s="5"/>
      <c r="K5" s="5"/>
      <c r="L5" s="5"/>
      <c r="M5" s="5"/>
      <c r="N5" s="5"/>
    </row>
    <row r="6" spans="1:14" x14ac:dyDescent="0.3">
      <c r="A6" s="5"/>
      <c r="B6" s="5"/>
      <c r="C6" s="5"/>
      <c r="D6" s="5"/>
      <c r="E6" s="5"/>
      <c r="F6" s="5"/>
      <c r="G6" s="5"/>
      <c r="H6" s="5"/>
      <c r="I6" s="5"/>
      <c r="J6" s="5"/>
      <c r="K6" s="5"/>
      <c r="L6" s="5"/>
      <c r="M6" s="5"/>
      <c r="N6" s="5"/>
    </row>
    <row r="7" spans="1:14" x14ac:dyDescent="0.3">
      <c r="A7" s="5"/>
      <c r="B7" s="5"/>
      <c r="C7" s="5"/>
      <c r="D7" s="5"/>
      <c r="E7" s="5"/>
      <c r="F7" s="5"/>
      <c r="G7" s="5"/>
      <c r="H7" s="5"/>
      <c r="I7" s="5"/>
      <c r="J7" s="5"/>
      <c r="K7" s="5"/>
      <c r="L7" s="5"/>
      <c r="M7" s="5"/>
      <c r="N7" s="5"/>
    </row>
    <row r="8" spans="1:14" x14ac:dyDescent="0.3">
      <c r="A8" s="5"/>
      <c r="B8" s="5"/>
      <c r="C8" s="5"/>
      <c r="D8" s="5"/>
      <c r="E8" s="5"/>
      <c r="F8" s="5"/>
      <c r="G8" s="5"/>
      <c r="H8" s="5"/>
      <c r="I8" s="5"/>
      <c r="J8" s="5"/>
      <c r="K8" s="5"/>
      <c r="L8" s="5"/>
      <c r="M8" s="5"/>
      <c r="N8" s="5"/>
    </row>
    <row r="9" spans="1:14" x14ac:dyDescent="0.3">
      <c r="A9" s="5"/>
      <c r="B9" s="5"/>
      <c r="C9" s="5"/>
      <c r="D9" s="5"/>
      <c r="E9" s="5"/>
      <c r="F9" s="5"/>
      <c r="G9" s="5"/>
      <c r="H9" s="5"/>
      <c r="I9" s="5"/>
      <c r="J9" s="5"/>
      <c r="K9" s="5"/>
      <c r="L9" s="5"/>
      <c r="M9" s="5"/>
      <c r="N9" s="5"/>
    </row>
    <row r="10" spans="1:14" x14ac:dyDescent="0.3">
      <c r="A10" s="5"/>
      <c r="B10" s="5"/>
      <c r="C10" s="5"/>
      <c r="D10" s="5"/>
      <c r="E10" s="5"/>
      <c r="F10" s="5"/>
      <c r="G10" s="5"/>
      <c r="H10" s="5"/>
      <c r="I10" s="5"/>
      <c r="J10" s="5"/>
      <c r="K10" s="5"/>
      <c r="L10" s="5"/>
      <c r="M10" s="5"/>
      <c r="N10" s="5"/>
    </row>
    <row r="11" spans="1:14" x14ac:dyDescent="0.3">
      <c r="A11" s="5"/>
      <c r="B11" s="5"/>
      <c r="C11" s="5"/>
      <c r="D11" s="5"/>
      <c r="E11" s="5"/>
      <c r="F11" s="5"/>
      <c r="G11" s="5"/>
      <c r="H11" s="5"/>
      <c r="I11" s="5"/>
      <c r="J11" s="5"/>
      <c r="K11" s="5"/>
      <c r="L11" s="5"/>
      <c r="M11" s="5"/>
      <c r="N11" s="5"/>
    </row>
    <row r="12" spans="1:14" x14ac:dyDescent="0.3">
      <c r="A12" s="5"/>
      <c r="B12" s="5"/>
      <c r="C12" s="5"/>
      <c r="D12" s="5"/>
      <c r="E12" s="5"/>
      <c r="F12" s="5"/>
      <c r="G12" s="5"/>
      <c r="H12" s="5"/>
      <c r="I12" s="5"/>
      <c r="J12" s="5"/>
      <c r="K12" s="5"/>
      <c r="L12" s="5"/>
      <c r="M12" s="5"/>
      <c r="N12" s="5"/>
    </row>
    <row r="13" spans="1:14" x14ac:dyDescent="0.3">
      <c r="A13" s="5"/>
      <c r="B13" s="5"/>
      <c r="C13" s="5"/>
      <c r="D13" s="5"/>
      <c r="E13" s="5"/>
      <c r="F13" s="5"/>
      <c r="G13" s="5"/>
      <c r="H13" s="5"/>
      <c r="I13" s="5"/>
      <c r="J13" s="5"/>
      <c r="K13" s="5"/>
      <c r="L13" s="5"/>
      <c r="M13" s="5"/>
      <c r="N13" s="5"/>
    </row>
    <row r="14" spans="1:14" x14ac:dyDescent="0.3">
      <c r="A14" s="5"/>
      <c r="B14" s="5"/>
      <c r="C14" s="5"/>
      <c r="D14" s="5"/>
      <c r="E14" s="5"/>
      <c r="F14" s="5"/>
      <c r="G14" s="5"/>
      <c r="H14" s="5"/>
      <c r="I14" s="5"/>
      <c r="J14" s="5"/>
      <c r="K14" s="5"/>
      <c r="L14" s="5"/>
      <c r="M14" s="5"/>
      <c r="N14" s="5"/>
    </row>
    <row r="15" spans="1:14" x14ac:dyDescent="0.3">
      <c r="A15" s="5"/>
      <c r="B15" s="5"/>
      <c r="C15" s="5"/>
      <c r="D15" s="5"/>
      <c r="E15" s="5"/>
      <c r="F15" s="5"/>
      <c r="G15" s="5"/>
      <c r="H15" s="5"/>
      <c r="I15" s="5"/>
      <c r="J15" s="5"/>
      <c r="K15" s="5"/>
      <c r="L15" s="5"/>
      <c r="M15" s="5"/>
      <c r="N15" s="5"/>
    </row>
    <row r="16" spans="1:14" x14ac:dyDescent="0.3">
      <c r="A16" s="5"/>
      <c r="B16" s="5"/>
      <c r="C16" s="5"/>
      <c r="D16" s="5"/>
      <c r="E16" s="5"/>
      <c r="F16" s="5"/>
      <c r="G16" s="5"/>
      <c r="H16" s="5"/>
      <c r="I16" s="5"/>
      <c r="J16" s="5"/>
      <c r="K16" s="5"/>
      <c r="L16" s="5"/>
      <c r="M16" s="5"/>
      <c r="N16" s="5"/>
    </row>
    <row r="17" spans="1:14" x14ac:dyDescent="0.3">
      <c r="A17" s="5"/>
      <c r="B17" s="5"/>
      <c r="C17" s="5"/>
      <c r="D17" s="5"/>
      <c r="E17" s="5"/>
      <c r="F17" s="5"/>
      <c r="G17" s="5"/>
      <c r="H17" s="5"/>
      <c r="I17" s="5"/>
      <c r="J17" s="5"/>
      <c r="K17" s="5"/>
      <c r="L17" s="5"/>
      <c r="M17" s="5"/>
      <c r="N17" s="5"/>
    </row>
    <row r="18" spans="1:14" x14ac:dyDescent="0.3">
      <c r="A18" s="5"/>
      <c r="B18" s="5"/>
      <c r="C18" s="5"/>
      <c r="D18" s="5"/>
      <c r="E18" s="5"/>
      <c r="F18" s="5"/>
      <c r="G18" s="5"/>
      <c r="H18" s="5"/>
      <c r="I18" s="5"/>
      <c r="J18" s="5"/>
      <c r="K18" s="5"/>
      <c r="L18" s="5"/>
      <c r="M18" s="5"/>
      <c r="N18" s="5"/>
    </row>
    <row r="19" spans="1:14" x14ac:dyDescent="0.3">
      <c r="A19" s="5"/>
      <c r="B19" s="5"/>
      <c r="C19" s="5"/>
      <c r="D19" s="5"/>
      <c r="E19" s="5"/>
      <c r="F19" s="5"/>
      <c r="G19" s="5"/>
      <c r="H19" s="5"/>
      <c r="I19" s="5"/>
      <c r="J19" s="5"/>
      <c r="K19" s="5"/>
      <c r="L19" s="5"/>
      <c r="M19" s="5"/>
      <c r="N19" s="5"/>
    </row>
    <row r="20" spans="1:14" x14ac:dyDescent="0.3">
      <c r="A20" s="5"/>
      <c r="B20" s="5"/>
      <c r="C20" s="5"/>
      <c r="D20" s="5"/>
      <c r="E20" s="5"/>
      <c r="F20" s="5"/>
      <c r="G20" s="5"/>
      <c r="H20" s="5"/>
      <c r="I20" s="5"/>
      <c r="J20" s="5"/>
      <c r="K20" s="5"/>
      <c r="L20" s="5"/>
      <c r="M20" s="5"/>
      <c r="N20" s="5"/>
    </row>
    <row r="21" spans="1:14" x14ac:dyDescent="0.3">
      <c r="A21" s="5"/>
      <c r="B21" s="5"/>
      <c r="C21" s="5"/>
      <c r="D21" s="5"/>
      <c r="E21" s="5"/>
      <c r="F21" s="5"/>
      <c r="G21" s="5"/>
      <c r="H21" s="5"/>
      <c r="I21" s="5"/>
      <c r="J21" s="5"/>
      <c r="K21" s="5"/>
      <c r="L21" s="5"/>
      <c r="M21" s="5"/>
      <c r="N21" s="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E1EDB-8E49-499B-A1A6-F6EB69B29F74}">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88C33-1557-4254-8E87-2D8E1D5F3671}">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7E72D-1571-4B2B-A1E9-E813AF3898A5}">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E78B7F0-C47E-401E-89CA-670560A3FB9C}">
  <ds:schemaRefs>
    <ds:schemaRef ds:uri="http://schemas.microsoft.com/DataMashup"/>
  </ds:schemaRefs>
</ds:datastoreItem>
</file>

<file path=customXml/itemProps2.xml><?xml version="1.0" encoding="utf-8"?>
<ds:datastoreItem xmlns:ds="http://schemas.openxmlformats.org/officeDocument/2006/customXml" ds:itemID="{A375A5BA-05B6-47BB-84C6-30FC97A0B575}">
  <ds:schemaRefs/>
</ds:datastoreItem>
</file>

<file path=customXml/itemProps3.xml><?xml version="1.0" encoding="utf-8"?>
<ds:datastoreItem xmlns:ds="http://schemas.openxmlformats.org/officeDocument/2006/customXml" ds:itemID="{BA28299E-5194-4FD7-9EEE-F39CC54AE645}">
  <ds:schemaRefs/>
</ds:datastoreItem>
</file>

<file path=customXml/itemProps4.xml><?xml version="1.0" encoding="utf-8"?>
<ds:datastoreItem xmlns:ds="http://schemas.openxmlformats.org/officeDocument/2006/customXml" ds:itemID="{F56B508E-7B55-478A-A96F-2EC1B453CB56}">
  <ds:schemaRefs/>
</ds:datastoreItem>
</file>

<file path=customXml/itemProps5.xml><?xml version="1.0" encoding="utf-8"?>
<ds:datastoreItem xmlns:ds="http://schemas.openxmlformats.org/officeDocument/2006/customXml" ds:itemID="{7A8117A0-92B4-4612-8CCE-B99E007F1589}">
  <ds:schemaRefs/>
</ds:datastoreItem>
</file>

<file path=customXml/itemProps6.xml><?xml version="1.0" encoding="utf-8"?>
<ds:datastoreItem xmlns:ds="http://schemas.openxmlformats.org/officeDocument/2006/customXml" ds:itemID="{5E344AEC-68ED-4D31-B493-E4193B709283}">
  <ds:schemaRefs/>
</ds:datastoreItem>
</file>

<file path=customXml/itemProps7.xml><?xml version="1.0" encoding="utf-8"?>
<ds:datastoreItem xmlns:ds="http://schemas.openxmlformats.org/officeDocument/2006/customXml" ds:itemID="{6E649D07-43CC-490B-8577-8999727E6697}">
  <ds:schemaRefs/>
</ds:datastoreItem>
</file>

<file path=customXml/itemProps8.xml><?xml version="1.0" encoding="utf-8"?>
<ds:datastoreItem xmlns:ds="http://schemas.openxmlformats.org/officeDocument/2006/customXml" ds:itemID="{3079B8DB-FF93-4FBE-919A-FF966AB19E0E}">
  <ds:schemaRefs/>
</ds:datastoreItem>
</file>

<file path=customXml/itemProps9.xml><?xml version="1.0" encoding="utf-8"?>
<ds:datastoreItem xmlns:ds="http://schemas.openxmlformats.org/officeDocument/2006/customXml" ds:itemID="{C8966199-DDCF-4E22-AC07-8FA19786AF06}">
  <ds:schemaRefs/>
</ds:datastoreItem>
</file>

<file path=customXml/itemProps10.xml><?xml version="1.0" encoding="utf-8"?>
<ds:datastoreItem xmlns:ds="http://schemas.openxmlformats.org/officeDocument/2006/customXml" ds:itemID="{92C7B8A0-6433-40CD-B898-356BCEF2EDE7}">
  <ds:schemaRefs/>
</ds:datastoreItem>
</file>

<file path=customXml/itemProps11.xml><?xml version="1.0" encoding="utf-8"?>
<ds:datastoreItem xmlns:ds="http://schemas.openxmlformats.org/officeDocument/2006/customXml" ds:itemID="{7CC1E848-AE9C-49CF-A327-C81BB2825AC5}">
  <ds:schemaRefs/>
</ds:datastoreItem>
</file>

<file path=customXml/itemProps12.xml><?xml version="1.0" encoding="utf-8"?>
<ds:datastoreItem xmlns:ds="http://schemas.openxmlformats.org/officeDocument/2006/customXml" ds:itemID="{F0C9D2FC-A90D-4B47-B10C-E58538BE8F66}">
  <ds:schemaRefs/>
</ds:datastoreItem>
</file>

<file path=customXml/itemProps13.xml><?xml version="1.0" encoding="utf-8"?>
<ds:datastoreItem xmlns:ds="http://schemas.openxmlformats.org/officeDocument/2006/customXml" ds:itemID="{AA13598C-9DD0-4040-B98E-440857B06CA8}">
  <ds:schemaRefs/>
</ds:datastoreItem>
</file>

<file path=customXml/itemProps14.xml><?xml version="1.0" encoding="utf-8"?>
<ds:datastoreItem xmlns:ds="http://schemas.openxmlformats.org/officeDocument/2006/customXml" ds:itemID="{8A37451B-C976-4FBC-AEF1-B41FF6E6571F}">
  <ds:schemaRefs/>
</ds:datastoreItem>
</file>

<file path=customXml/itemProps15.xml><?xml version="1.0" encoding="utf-8"?>
<ds:datastoreItem xmlns:ds="http://schemas.openxmlformats.org/officeDocument/2006/customXml" ds:itemID="{3D1EE279-8D54-48A5-8027-547101B0092A}">
  <ds:schemaRefs/>
</ds:datastoreItem>
</file>

<file path=customXml/itemProps16.xml><?xml version="1.0" encoding="utf-8"?>
<ds:datastoreItem xmlns:ds="http://schemas.openxmlformats.org/officeDocument/2006/customXml" ds:itemID="{59284259-BBE3-4BB7-80BD-13C8923A8CB7}">
  <ds:schemaRefs/>
</ds:datastoreItem>
</file>

<file path=customXml/itemProps17.xml><?xml version="1.0" encoding="utf-8"?>
<ds:datastoreItem xmlns:ds="http://schemas.openxmlformats.org/officeDocument/2006/customXml" ds:itemID="{B160DBCF-FE48-48A0-AC7F-A04ECB1AA55C}">
  <ds:schemaRefs/>
</ds:datastoreItem>
</file>

<file path=customXml/itemProps18.xml><?xml version="1.0" encoding="utf-8"?>
<ds:datastoreItem xmlns:ds="http://schemas.openxmlformats.org/officeDocument/2006/customXml" ds:itemID="{8213BE02-A12B-4697-A906-395730F3EA1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Sheet4</vt:lpstr>
      <vt:lpstr>Sheet1</vt:lpstr>
      <vt:lpstr>Dashboard</vt:lpstr>
      <vt:lpstr>Sheet3</vt:lpstr>
      <vt:lpstr>Sheet5</vt:lpstr>
      <vt:lpstr>Sheet6</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dc:creator>
  <cp:lastModifiedBy>Akash .</cp:lastModifiedBy>
  <dcterms:created xsi:type="dcterms:W3CDTF">2025-12-07T08:42:46Z</dcterms:created>
  <dcterms:modified xsi:type="dcterms:W3CDTF">2025-12-10T08:31:44Z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a1fa8c16-ebb4-4115-a858-c193155b03f4</vt:lpwstr>
  </property>
</Properties>
</file>